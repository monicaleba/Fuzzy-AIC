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ucrari\2026\jurnale\ceva Q2\Fuzzy bun\cod+rezultate\"/>
    </mc:Choice>
  </mc:AlternateContent>
  <xr:revisionPtr revIDLastSave="0" documentId="13_ncr:1_{6B398F83-685E-49E5-8EAB-E86EF58CB8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 evalu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71" i="1" l="1"/>
  <c r="AG171" i="1" s="1"/>
  <c r="X171" i="1"/>
  <c r="Y171" i="1" s="1"/>
  <c r="AF116" i="1"/>
  <c r="AG116" i="1" s="1"/>
  <c r="X116" i="1"/>
  <c r="Y116" i="1" s="1"/>
  <c r="AF100" i="1"/>
  <c r="AG100" i="1" s="1"/>
  <c r="X100" i="1"/>
  <c r="Y100" i="1" s="1"/>
  <c r="AF94" i="1"/>
  <c r="AG94" i="1" s="1"/>
  <c r="AF90" i="1"/>
  <c r="AG90" i="1" s="1"/>
  <c r="AF79" i="1"/>
  <c r="AG79" i="1" s="1"/>
  <c r="AF53" i="1"/>
  <c r="AG53" i="1" s="1"/>
  <c r="AF52" i="1"/>
  <c r="AG52" i="1" s="1"/>
  <c r="Y52" i="1"/>
  <c r="X52" i="1"/>
  <c r="AG48" i="1"/>
  <c r="AF48" i="1"/>
  <c r="X48" i="1"/>
  <c r="Y48" i="1" s="1"/>
  <c r="Y49" i="1"/>
  <c r="X49" i="1"/>
  <c r="Y23" i="1"/>
  <c r="X23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5" i="1"/>
  <c r="AO46" i="1"/>
  <c r="AO47" i="1"/>
  <c r="AO50" i="1"/>
  <c r="AO51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80" i="1"/>
  <c r="AO81" i="1"/>
  <c r="AO82" i="1"/>
  <c r="AO83" i="1"/>
  <c r="AO84" i="1"/>
  <c r="AO85" i="1"/>
  <c r="AO86" i="1"/>
  <c r="AO87" i="1"/>
  <c r="AO88" i="1"/>
  <c r="AO89" i="1"/>
  <c r="AO91" i="1"/>
  <c r="AO92" i="1"/>
  <c r="AO93" i="1"/>
  <c r="AO95" i="1"/>
  <c r="AO96" i="1"/>
  <c r="AO97" i="1"/>
  <c r="AO98" i="1"/>
  <c r="AO99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" i="1"/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O44" i="1" s="1"/>
  <c r="AN45" i="1"/>
  <c r="AN46" i="1"/>
  <c r="AN47" i="1"/>
  <c r="AN50" i="1"/>
  <c r="AN51" i="1"/>
  <c r="AN52" i="1"/>
  <c r="AO52" i="1" s="1"/>
  <c r="AN53" i="1"/>
  <c r="AO53" i="1" s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80" i="1"/>
  <c r="AN81" i="1"/>
  <c r="AN82" i="1"/>
  <c r="AN83" i="1"/>
  <c r="AN84" i="1"/>
  <c r="AN85" i="1"/>
  <c r="AN86" i="1"/>
  <c r="AN87" i="1"/>
  <c r="AN88" i="1"/>
  <c r="AN89" i="1"/>
  <c r="AN91" i="1"/>
  <c r="AN92" i="1"/>
  <c r="AN93" i="1"/>
  <c r="AN95" i="1"/>
  <c r="AN96" i="1"/>
  <c r="AN97" i="1"/>
  <c r="AN98" i="1"/>
  <c r="AN99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N48" i="1" s="1"/>
  <c r="AO48" i="1" s="1"/>
  <c r="AK49" i="1"/>
  <c r="AN49" i="1" s="1"/>
  <c r="AO49" i="1" s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N100" i="1" s="1"/>
  <c r="AO100" i="1" s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N116" i="1" s="1"/>
  <c r="AO116" i="1" s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N94" i="1" s="1"/>
  <c r="AO94" i="1" s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N171" i="1" s="1"/>
  <c r="AO171" i="1" s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" i="1"/>
  <c r="AJ2" i="1"/>
  <c r="AK2" i="1"/>
  <c r="AL2" i="1"/>
  <c r="AM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N23" i="1" s="1"/>
  <c r="AO23" i="1" s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" i="1"/>
  <c r="P19" i="1"/>
  <c r="Q19" i="1" s="1"/>
  <c r="H19" i="1"/>
  <c r="I19" i="1" s="1"/>
  <c r="P71" i="1"/>
  <c r="Q71" i="1" s="1"/>
  <c r="H71" i="1"/>
  <c r="I71" i="1" s="1"/>
  <c r="P136" i="1"/>
  <c r="Q136" i="1" s="1"/>
  <c r="H136" i="1"/>
  <c r="I136" i="1" s="1"/>
  <c r="P31" i="1"/>
  <c r="Q31" i="1" s="1"/>
  <c r="H31" i="1"/>
  <c r="I31" i="1" s="1"/>
  <c r="P124" i="1"/>
  <c r="Q124" i="1" s="1"/>
  <c r="H124" i="1"/>
  <c r="I124" i="1" s="1"/>
  <c r="P82" i="1"/>
  <c r="Q82" i="1" s="1"/>
  <c r="H82" i="1"/>
  <c r="I82" i="1" s="1"/>
  <c r="P132" i="1"/>
  <c r="Q132" i="1" s="1"/>
  <c r="H132" i="1"/>
  <c r="I132" i="1" s="1"/>
  <c r="P81" i="1"/>
  <c r="Q81" i="1" s="1"/>
  <c r="H81" i="1"/>
  <c r="I81" i="1" s="1"/>
  <c r="P137" i="1"/>
  <c r="Q137" i="1" s="1"/>
  <c r="H137" i="1"/>
  <c r="I137" i="1" s="1"/>
  <c r="P84" i="1"/>
  <c r="Q84" i="1" s="1"/>
  <c r="H84" i="1"/>
  <c r="I84" i="1" s="1"/>
  <c r="P198" i="1"/>
  <c r="Q198" i="1" s="1"/>
  <c r="H198" i="1"/>
  <c r="I198" i="1" s="1"/>
  <c r="P34" i="1"/>
  <c r="Q34" i="1" s="1"/>
  <c r="H34" i="1"/>
  <c r="I34" i="1" s="1"/>
  <c r="P126" i="1"/>
  <c r="Q126" i="1" s="1"/>
  <c r="H126" i="1"/>
  <c r="I126" i="1" s="1"/>
  <c r="P96" i="1"/>
  <c r="Q96" i="1" s="1"/>
  <c r="H96" i="1"/>
  <c r="I96" i="1" s="1"/>
  <c r="P179" i="1"/>
  <c r="Q179" i="1" s="1"/>
  <c r="H179" i="1"/>
  <c r="I179" i="1" s="1"/>
  <c r="P7" i="1"/>
  <c r="Q7" i="1" s="1"/>
  <c r="H7" i="1"/>
  <c r="I7" i="1" s="1"/>
  <c r="P144" i="1"/>
  <c r="Q144" i="1" s="1"/>
  <c r="H144" i="1"/>
  <c r="I144" i="1" s="1"/>
  <c r="P28" i="1"/>
  <c r="Q28" i="1" s="1"/>
  <c r="H28" i="1"/>
  <c r="I28" i="1" s="1"/>
  <c r="P24" i="1"/>
  <c r="Q24" i="1" s="1"/>
  <c r="H24" i="1"/>
  <c r="I24" i="1" s="1"/>
  <c r="P87" i="1"/>
  <c r="Q87" i="1" s="1"/>
  <c r="H87" i="1"/>
  <c r="I87" i="1" s="1"/>
  <c r="P161" i="1"/>
  <c r="Q161" i="1" s="1"/>
  <c r="H161" i="1"/>
  <c r="I161" i="1" s="1"/>
  <c r="P39" i="1"/>
  <c r="Q39" i="1" s="1"/>
  <c r="H39" i="1"/>
  <c r="I39" i="1" s="1"/>
  <c r="P148" i="1"/>
  <c r="Q148" i="1" s="1"/>
  <c r="H148" i="1"/>
  <c r="I148" i="1" s="1"/>
  <c r="P61" i="1"/>
  <c r="Q61" i="1" s="1"/>
  <c r="H61" i="1"/>
  <c r="I61" i="1" s="1"/>
  <c r="P167" i="1"/>
  <c r="Q167" i="1" s="1"/>
  <c r="H167" i="1"/>
  <c r="I167" i="1" s="1"/>
  <c r="P62" i="1"/>
  <c r="Q62" i="1" s="1"/>
  <c r="H62" i="1"/>
  <c r="I62" i="1" s="1"/>
  <c r="P98" i="1"/>
  <c r="Q98" i="1" s="1"/>
  <c r="H98" i="1"/>
  <c r="I98" i="1" s="1"/>
  <c r="P156" i="1"/>
  <c r="Q156" i="1" s="1"/>
  <c r="H156" i="1"/>
  <c r="I156" i="1" s="1"/>
  <c r="P141" i="1"/>
  <c r="Q141" i="1" s="1"/>
  <c r="H141" i="1"/>
  <c r="I141" i="1" s="1"/>
  <c r="P117" i="1"/>
  <c r="Q117" i="1" s="1"/>
  <c r="H117" i="1"/>
  <c r="I117" i="1" s="1"/>
  <c r="P191" i="1"/>
  <c r="Q191" i="1" s="1"/>
  <c r="H191" i="1"/>
  <c r="I191" i="1" s="1"/>
  <c r="P36" i="1"/>
  <c r="Q36" i="1" s="1"/>
  <c r="H36" i="1"/>
  <c r="I36" i="1" s="1"/>
  <c r="P150" i="1"/>
  <c r="Q150" i="1" s="1"/>
  <c r="H150" i="1"/>
  <c r="I150" i="1" s="1"/>
  <c r="P135" i="1"/>
  <c r="Q135" i="1" s="1"/>
  <c r="H135" i="1"/>
  <c r="I135" i="1" s="1"/>
  <c r="P70" i="1"/>
  <c r="Q70" i="1" s="1"/>
  <c r="H70" i="1"/>
  <c r="I70" i="1" s="1"/>
  <c r="P147" i="1"/>
  <c r="Q147" i="1" s="1"/>
  <c r="H147" i="1"/>
  <c r="I147" i="1" s="1"/>
  <c r="P16" i="1"/>
  <c r="Q16" i="1" s="1"/>
  <c r="H16" i="1"/>
  <c r="I16" i="1" s="1"/>
  <c r="P164" i="1"/>
  <c r="Q164" i="1" s="1"/>
  <c r="H164" i="1"/>
  <c r="I164" i="1" s="1"/>
  <c r="P121" i="1"/>
  <c r="Q121" i="1" s="1"/>
  <c r="H121" i="1"/>
  <c r="I121" i="1" s="1"/>
  <c r="P157" i="1"/>
  <c r="Q157" i="1" s="1"/>
  <c r="H157" i="1"/>
  <c r="I157" i="1" s="1"/>
  <c r="P50" i="1"/>
  <c r="Q50" i="1" s="1"/>
  <c r="H50" i="1"/>
  <c r="I50" i="1" s="1"/>
  <c r="P30" i="1"/>
  <c r="Q30" i="1" s="1"/>
  <c r="H30" i="1"/>
  <c r="I30" i="1" s="1"/>
  <c r="P188" i="1"/>
  <c r="Q188" i="1" s="1"/>
  <c r="H188" i="1"/>
  <c r="I188" i="1" s="1"/>
  <c r="P158" i="1"/>
  <c r="Q158" i="1" s="1"/>
  <c r="H158" i="1"/>
  <c r="I158" i="1" s="1"/>
  <c r="P130" i="1"/>
  <c r="Q130" i="1" s="1"/>
  <c r="H130" i="1"/>
  <c r="I130" i="1" s="1"/>
  <c r="P142" i="1"/>
  <c r="Q142" i="1" s="1"/>
  <c r="H142" i="1"/>
  <c r="I142" i="1" s="1"/>
  <c r="P66" i="1"/>
  <c r="Q66" i="1" s="1"/>
  <c r="H66" i="1"/>
  <c r="I66" i="1" s="1"/>
  <c r="P85" i="1"/>
  <c r="Q85" i="1" s="1"/>
  <c r="H85" i="1"/>
  <c r="I85" i="1" s="1"/>
  <c r="P69" i="1"/>
  <c r="Q69" i="1" s="1"/>
  <c r="H69" i="1"/>
  <c r="I69" i="1" s="1"/>
  <c r="P104" i="1"/>
  <c r="Q104" i="1" s="1"/>
  <c r="H104" i="1"/>
  <c r="I104" i="1" s="1"/>
  <c r="P166" i="1"/>
  <c r="Q166" i="1" s="1"/>
  <c r="H166" i="1"/>
  <c r="I166" i="1" s="1"/>
  <c r="P83" i="1"/>
  <c r="Q83" i="1" s="1"/>
  <c r="H83" i="1"/>
  <c r="I83" i="1" s="1"/>
  <c r="P6" i="1"/>
  <c r="Q6" i="1" s="1"/>
  <c r="H6" i="1"/>
  <c r="I6" i="1" s="1"/>
  <c r="P58" i="1"/>
  <c r="Q58" i="1" s="1"/>
  <c r="H58" i="1"/>
  <c r="I58" i="1" s="1"/>
  <c r="P134" i="1"/>
  <c r="Q134" i="1" s="1"/>
  <c r="H134" i="1"/>
  <c r="I134" i="1" s="1"/>
  <c r="P46" i="1"/>
  <c r="Q46" i="1" s="1"/>
  <c r="H46" i="1"/>
  <c r="I46" i="1" s="1"/>
  <c r="P199" i="1"/>
  <c r="Q199" i="1" s="1"/>
  <c r="H199" i="1"/>
  <c r="I199" i="1" s="1"/>
  <c r="P196" i="1"/>
  <c r="Q196" i="1" s="1"/>
  <c r="H196" i="1"/>
  <c r="I196" i="1" s="1"/>
  <c r="P37" i="1"/>
  <c r="Q37" i="1" s="1"/>
  <c r="H37" i="1"/>
  <c r="I37" i="1" s="1"/>
  <c r="P63" i="1"/>
  <c r="Q63" i="1" s="1"/>
  <c r="H63" i="1"/>
  <c r="I63" i="1" s="1"/>
  <c r="P190" i="1"/>
  <c r="Q190" i="1" s="1"/>
  <c r="H190" i="1"/>
  <c r="I190" i="1" s="1"/>
  <c r="P138" i="1"/>
  <c r="Q138" i="1" s="1"/>
  <c r="H138" i="1"/>
  <c r="I138" i="1" s="1"/>
  <c r="P172" i="1"/>
  <c r="Q172" i="1" s="1"/>
  <c r="H172" i="1"/>
  <c r="I172" i="1" s="1"/>
  <c r="P165" i="1"/>
  <c r="Q165" i="1" s="1"/>
  <c r="H165" i="1"/>
  <c r="I165" i="1" s="1"/>
  <c r="P176" i="1"/>
  <c r="Q176" i="1" s="1"/>
  <c r="H176" i="1"/>
  <c r="I176" i="1" s="1"/>
  <c r="P200" i="1"/>
  <c r="Q200" i="1" s="1"/>
  <c r="H200" i="1"/>
  <c r="I200" i="1" s="1"/>
  <c r="P110" i="1"/>
  <c r="Q110" i="1" s="1"/>
  <c r="H110" i="1"/>
  <c r="I110" i="1" s="1"/>
  <c r="P194" i="1"/>
  <c r="Q194" i="1" s="1"/>
  <c r="H194" i="1"/>
  <c r="I194" i="1" s="1"/>
  <c r="P183" i="1"/>
  <c r="Q183" i="1" s="1"/>
  <c r="H183" i="1"/>
  <c r="I183" i="1" s="1"/>
  <c r="P114" i="1"/>
  <c r="Q114" i="1" s="1"/>
  <c r="H114" i="1"/>
  <c r="I114" i="1" s="1"/>
  <c r="P13" i="1"/>
  <c r="Q13" i="1" s="1"/>
  <c r="H13" i="1"/>
  <c r="I13" i="1" s="1"/>
  <c r="P60" i="1"/>
  <c r="Q60" i="1" s="1"/>
  <c r="H60" i="1"/>
  <c r="I60" i="1" s="1"/>
  <c r="P122" i="1"/>
  <c r="Q122" i="1" s="1"/>
  <c r="H122" i="1"/>
  <c r="I122" i="1" s="1"/>
  <c r="P153" i="1"/>
  <c r="Q153" i="1" s="1"/>
  <c r="H153" i="1"/>
  <c r="I153" i="1" s="1"/>
  <c r="P11" i="1"/>
  <c r="Q11" i="1" s="1"/>
  <c r="H11" i="1"/>
  <c r="I11" i="1" s="1"/>
  <c r="P72" i="1"/>
  <c r="Q72" i="1" s="1"/>
  <c r="H72" i="1"/>
  <c r="I72" i="1" s="1"/>
  <c r="P154" i="1"/>
  <c r="Q154" i="1" s="1"/>
  <c r="H154" i="1"/>
  <c r="I154" i="1" s="1"/>
  <c r="P173" i="1"/>
  <c r="Q173" i="1" s="1"/>
  <c r="H173" i="1"/>
  <c r="I173" i="1" s="1"/>
  <c r="P86" i="1"/>
  <c r="Q86" i="1" s="1"/>
  <c r="H86" i="1"/>
  <c r="I86" i="1" s="1"/>
  <c r="P102" i="1"/>
  <c r="Q102" i="1" s="1"/>
  <c r="H102" i="1"/>
  <c r="I102" i="1" s="1"/>
  <c r="P76" i="1"/>
  <c r="Q76" i="1" s="1"/>
  <c r="H76" i="1"/>
  <c r="I76" i="1" s="1"/>
  <c r="P57" i="1"/>
  <c r="Q57" i="1" s="1"/>
  <c r="H57" i="1"/>
  <c r="I57" i="1" s="1"/>
  <c r="P14" i="1"/>
  <c r="Q14" i="1" s="1"/>
  <c r="H14" i="1"/>
  <c r="I14" i="1" s="1"/>
  <c r="P140" i="1"/>
  <c r="Q140" i="1" s="1"/>
  <c r="H140" i="1"/>
  <c r="I140" i="1" s="1"/>
  <c r="P95" i="1"/>
  <c r="Q95" i="1" s="1"/>
  <c r="H95" i="1"/>
  <c r="I95" i="1" s="1"/>
  <c r="P146" i="1"/>
  <c r="Q146" i="1" s="1"/>
  <c r="H146" i="1"/>
  <c r="I146" i="1" s="1"/>
  <c r="P75" i="1"/>
  <c r="Q75" i="1" s="1"/>
  <c r="H75" i="1"/>
  <c r="I75" i="1" s="1"/>
  <c r="P155" i="1"/>
  <c r="Q155" i="1" s="1"/>
  <c r="H155" i="1"/>
  <c r="I155" i="1" s="1"/>
  <c r="P115" i="1"/>
  <c r="Q115" i="1" s="1"/>
  <c r="H115" i="1"/>
  <c r="I115" i="1" s="1"/>
  <c r="P15" i="1"/>
  <c r="Q15" i="1" s="1"/>
  <c r="H15" i="1"/>
  <c r="I15" i="1" s="1"/>
  <c r="P43" i="1"/>
  <c r="Q43" i="1" s="1"/>
  <c r="H43" i="1"/>
  <c r="I43" i="1" s="1"/>
  <c r="P51" i="1"/>
  <c r="Q51" i="1" s="1"/>
  <c r="H51" i="1"/>
  <c r="I51" i="1" s="1"/>
  <c r="P109" i="1"/>
  <c r="Q109" i="1" s="1"/>
  <c r="H109" i="1"/>
  <c r="I109" i="1" s="1"/>
  <c r="P10" i="1"/>
  <c r="Q10" i="1" s="1"/>
  <c r="H10" i="1"/>
  <c r="I10" i="1" s="1"/>
  <c r="P32" i="1"/>
  <c r="Q32" i="1" s="1"/>
  <c r="H32" i="1"/>
  <c r="I32" i="1" s="1"/>
  <c r="P2" i="1"/>
  <c r="Q2" i="1" s="1"/>
  <c r="H2" i="1"/>
  <c r="I2" i="1" s="1"/>
  <c r="P177" i="1"/>
  <c r="Q177" i="1" s="1"/>
  <c r="H177" i="1"/>
  <c r="I177" i="1" s="1"/>
  <c r="P143" i="1"/>
  <c r="Q143" i="1" s="1"/>
  <c r="H143" i="1"/>
  <c r="I143" i="1" s="1"/>
  <c r="P12" i="1"/>
  <c r="Q12" i="1" s="1"/>
  <c r="H12" i="1"/>
  <c r="I12" i="1" s="1"/>
  <c r="P9" i="1"/>
  <c r="Q9" i="1" s="1"/>
  <c r="H9" i="1"/>
  <c r="I9" i="1" s="1"/>
  <c r="I192" i="1"/>
  <c r="P47" i="1"/>
  <c r="Q47" i="1" s="1"/>
  <c r="P111" i="1"/>
  <c r="Q111" i="1" s="1"/>
  <c r="P187" i="1"/>
  <c r="Q187" i="1" s="1"/>
  <c r="P22" i="1"/>
  <c r="Q22" i="1" s="1"/>
  <c r="P184" i="1"/>
  <c r="Q184" i="1" s="1"/>
  <c r="P97" i="1"/>
  <c r="Q97" i="1" s="1"/>
  <c r="P192" i="1"/>
  <c r="Q192" i="1" s="1"/>
  <c r="P118" i="1"/>
  <c r="Q118" i="1" s="1"/>
  <c r="P99" i="1"/>
  <c r="Q99" i="1" s="1"/>
  <c r="P59" i="1"/>
  <c r="P139" i="1"/>
  <c r="Q139" i="1" s="1"/>
  <c r="P90" i="1"/>
  <c r="Q90" i="1" s="1"/>
  <c r="P170" i="1"/>
  <c r="Q170" i="1" s="1"/>
  <c r="P78" i="1"/>
  <c r="Q78" i="1" s="1"/>
  <c r="P125" i="1"/>
  <c r="Q125" i="1" s="1"/>
  <c r="P119" i="1"/>
  <c r="Q119" i="1" s="1"/>
  <c r="P181" i="1"/>
  <c r="Q181" i="1" s="1"/>
  <c r="P5" i="1"/>
  <c r="Q5" i="1" s="1"/>
  <c r="P53" i="1"/>
  <c r="Q53" i="1" s="1"/>
  <c r="P26" i="1"/>
  <c r="Q26" i="1" s="1"/>
  <c r="P113" i="1"/>
  <c r="Q113" i="1" s="1"/>
  <c r="P64" i="1"/>
  <c r="Q64" i="1" s="1"/>
  <c r="P195" i="1"/>
  <c r="Q195" i="1" s="1"/>
  <c r="P103" i="1"/>
  <c r="Q103" i="1" s="1"/>
  <c r="P92" i="1"/>
  <c r="Q92" i="1" s="1"/>
  <c r="P93" i="1"/>
  <c r="Q93" i="1" s="1"/>
  <c r="P159" i="1"/>
  <c r="Q159" i="1" s="1"/>
  <c r="P178" i="1"/>
  <c r="Q178" i="1" s="1"/>
  <c r="P149" i="1"/>
  <c r="Q149" i="1" s="1"/>
  <c r="P17" i="1"/>
  <c r="Q17" i="1" s="1"/>
  <c r="P80" i="1"/>
  <c r="P180" i="1"/>
  <c r="Q180" i="1" s="1"/>
  <c r="P162" i="1"/>
  <c r="Q162" i="1" s="1"/>
  <c r="P65" i="1"/>
  <c r="Q65" i="1" s="1"/>
  <c r="P127" i="1"/>
  <c r="Q127" i="1" s="1"/>
  <c r="P168" i="1"/>
  <c r="Q168" i="1" s="1"/>
  <c r="P182" i="1"/>
  <c r="Q182" i="1" s="1"/>
  <c r="P38" i="1"/>
  <c r="Q38" i="1" s="1"/>
  <c r="P112" i="1"/>
  <c r="Q112" i="1" s="1"/>
  <c r="P77" i="1"/>
  <c r="Q77" i="1" s="1"/>
  <c r="P106" i="1"/>
  <c r="Q106" i="1" s="1"/>
  <c r="P120" i="1"/>
  <c r="Q120" i="1" s="1"/>
  <c r="P88" i="1"/>
  <c r="Q88" i="1" s="1"/>
  <c r="P54" i="1"/>
  <c r="Q54" i="1" s="1"/>
  <c r="P131" i="1"/>
  <c r="Q131" i="1" s="1"/>
  <c r="P197" i="1"/>
  <c r="Q197" i="1" s="1"/>
  <c r="P160" i="1"/>
  <c r="Q160" i="1" s="1"/>
  <c r="P189" i="1"/>
  <c r="Q189" i="1" s="1"/>
  <c r="P25" i="1"/>
  <c r="Q25" i="1" s="1"/>
  <c r="P45" i="1"/>
  <c r="Q45" i="1" s="1"/>
  <c r="P193" i="1"/>
  <c r="Q193" i="1" s="1"/>
  <c r="P18" i="1"/>
  <c r="Q18" i="1" s="1"/>
  <c r="P68" i="1"/>
  <c r="P89" i="1"/>
  <c r="Q89" i="1" s="1"/>
  <c r="P42" i="1"/>
  <c r="Q42" i="1" s="1"/>
  <c r="P169" i="1"/>
  <c r="Q169" i="1" s="1"/>
  <c r="P133" i="1"/>
  <c r="Q133" i="1" s="1"/>
  <c r="P174" i="1"/>
  <c r="Q174" i="1" s="1"/>
  <c r="P49" i="1"/>
  <c r="Q49" i="1" s="1"/>
  <c r="P40" i="1"/>
  <c r="Q40" i="1" s="1"/>
  <c r="P73" i="1"/>
  <c r="Q73" i="1" s="1"/>
  <c r="P4" i="1"/>
  <c r="Q4" i="1" s="1"/>
  <c r="P175" i="1"/>
  <c r="Q175" i="1" s="1"/>
  <c r="P44" i="1"/>
  <c r="Q44" i="1" s="1"/>
  <c r="P41" i="1"/>
  <c r="Q41" i="1" s="1"/>
  <c r="P56" i="1"/>
  <c r="Q56" i="1" s="1"/>
  <c r="P52" i="1"/>
  <c r="Q52" i="1" s="1"/>
  <c r="P151" i="1"/>
  <c r="Q151" i="1" s="1"/>
  <c r="P94" i="1"/>
  <c r="P185" i="1"/>
  <c r="Q185" i="1" s="1"/>
  <c r="P152" i="1"/>
  <c r="Q152" i="1" s="1"/>
  <c r="P186" i="1"/>
  <c r="Q186" i="1" s="1"/>
  <c r="P79" i="1"/>
  <c r="Q79" i="1" s="1"/>
  <c r="P105" i="1"/>
  <c r="P29" i="1"/>
  <c r="Q29" i="1" s="1"/>
  <c r="P100" i="1"/>
  <c r="Q100" i="1" s="1"/>
  <c r="P123" i="1"/>
  <c r="Q123" i="1" s="1"/>
  <c r="P3" i="1"/>
  <c r="Q3" i="1" s="1"/>
  <c r="P23" i="1"/>
  <c r="Q23" i="1" s="1"/>
  <c r="P171" i="1"/>
  <c r="Q171" i="1" s="1"/>
  <c r="P20" i="1"/>
  <c r="Q20" i="1" s="1"/>
  <c r="P48" i="1"/>
  <c r="Q48" i="1" s="1"/>
  <c r="P116" i="1"/>
  <c r="Q116" i="1" s="1"/>
  <c r="P21" i="1"/>
  <c r="Q21" i="1" s="1"/>
  <c r="P55" i="1"/>
  <c r="Q55" i="1" s="1"/>
  <c r="P67" i="1"/>
  <c r="Q67" i="1" s="1"/>
  <c r="P35" i="1"/>
  <c r="Q35" i="1" s="1"/>
  <c r="P27" i="1"/>
  <c r="Q27" i="1" s="1"/>
  <c r="P108" i="1"/>
  <c r="Q108" i="1" s="1"/>
  <c r="P163" i="1"/>
  <c r="Q163" i="1" s="1"/>
  <c r="P8" i="1"/>
  <c r="Q8" i="1" s="1"/>
  <c r="P91" i="1"/>
  <c r="Q91" i="1" s="1"/>
  <c r="P33" i="1"/>
  <c r="Q33" i="1" s="1"/>
  <c r="P145" i="1"/>
  <c r="Q145" i="1" s="1"/>
  <c r="P74" i="1"/>
  <c r="Q74" i="1" s="1"/>
  <c r="P107" i="1"/>
  <c r="Q107" i="1" s="1"/>
  <c r="P101" i="1"/>
  <c r="Q101" i="1" s="1"/>
  <c r="P129" i="1"/>
  <c r="Q129" i="1" s="1"/>
  <c r="P128" i="1"/>
  <c r="Q128" i="1" s="1"/>
  <c r="H129" i="1"/>
  <c r="I129" i="1" s="1"/>
  <c r="H101" i="1"/>
  <c r="I101" i="1" s="1"/>
  <c r="H107" i="1"/>
  <c r="I107" i="1" s="1"/>
  <c r="H74" i="1"/>
  <c r="I74" i="1" s="1"/>
  <c r="H145" i="1"/>
  <c r="H33" i="1"/>
  <c r="I33" i="1" s="1"/>
  <c r="H91" i="1"/>
  <c r="I91" i="1" s="1"/>
  <c r="H8" i="1"/>
  <c r="I8" i="1" s="1"/>
  <c r="H163" i="1"/>
  <c r="H108" i="1"/>
  <c r="I108" i="1" s="1"/>
  <c r="H27" i="1"/>
  <c r="I27" i="1" s="1"/>
  <c r="H35" i="1"/>
  <c r="I35" i="1" s="1"/>
  <c r="H67" i="1"/>
  <c r="I67" i="1" s="1"/>
  <c r="H55" i="1"/>
  <c r="I55" i="1" s="1"/>
  <c r="H21" i="1"/>
  <c r="I21" i="1" s="1"/>
  <c r="H116" i="1"/>
  <c r="I116" i="1" s="1"/>
  <c r="H48" i="1"/>
  <c r="I48" i="1" s="1"/>
  <c r="H20" i="1"/>
  <c r="I20" i="1" s="1"/>
  <c r="H171" i="1"/>
  <c r="I171" i="1" s="1"/>
  <c r="H23" i="1"/>
  <c r="I23" i="1" s="1"/>
  <c r="H3" i="1"/>
  <c r="H123" i="1"/>
  <c r="I123" i="1" s="1"/>
  <c r="H100" i="1"/>
  <c r="I100" i="1" s="1"/>
  <c r="H29" i="1"/>
  <c r="I29" i="1" s="1"/>
  <c r="H105" i="1"/>
  <c r="I105" i="1" s="1"/>
  <c r="H79" i="1"/>
  <c r="H186" i="1"/>
  <c r="I186" i="1" s="1"/>
  <c r="H152" i="1"/>
  <c r="I152" i="1" s="1"/>
  <c r="H185" i="1"/>
  <c r="I185" i="1" s="1"/>
  <c r="H94" i="1"/>
  <c r="I94" i="1" s="1"/>
  <c r="H151" i="1"/>
  <c r="I151" i="1" s="1"/>
  <c r="H52" i="1"/>
  <c r="I52" i="1" s="1"/>
  <c r="H56" i="1"/>
  <c r="I56" i="1" s="1"/>
  <c r="H41" i="1"/>
  <c r="I41" i="1" s="1"/>
  <c r="H44" i="1"/>
  <c r="I44" i="1" s="1"/>
  <c r="H175" i="1"/>
  <c r="I175" i="1" s="1"/>
  <c r="H4" i="1"/>
  <c r="H73" i="1"/>
  <c r="I73" i="1" s="1"/>
  <c r="H40" i="1"/>
  <c r="I40" i="1" s="1"/>
  <c r="H49" i="1"/>
  <c r="I49" i="1" s="1"/>
  <c r="H174" i="1"/>
  <c r="H133" i="1"/>
  <c r="H169" i="1"/>
  <c r="I169" i="1" s="1"/>
  <c r="H42" i="1"/>
  <c r="I42" i="1" s="1"/>
  <c r="H89" i="1"/>
  <c r="H68" i="1"/>
  <c r="I68" i="1" s="1"/>
  <c r="H18" i="1"/>
  <c r="I18" i="1" s="1"/>
  <c r="H193" i="1"/>
  <c r="I193" i="1" s="1"/>
  <c r="H45" i="1"/>
  <c r="I45" i="1" s="1"/>
  <c r="H25" i="1"/>
  <c r="I25" i="1" s="1"/>
  <c r="H189" i="1"/>
  <c r="I189" i="1" s="1"/>
  <c r="H160" i="1"/>
  <c r="I160" i="1" s="1"/>
  <c r="H197" i="1"/>
  <c r="I197" i="1" s="1"/>
  <c r="H131" i="1"/>
  <c r="I131" i="1" s="1"/>
  <c r="H54" i="1"/>
  <c r="I54" i="1" s="1"/>
  <c r="H88" i="1"/>
  <c r="I88" i="1" s="1"/>
  <c r="H120" i="1"/>
  <c r="I120" i="1" s="1"/>
  <c r="H106" i="1"/>
  <c r="I106" i="1" s="1"/>
  <c r="H77" i="1"/>
  <c r="I77" i="1" s="1"/>
  <c r="H112" i="1"/>
  <c r="I112" i="1" s="1"/>
  <c r="H38" i="1"/>
  <c r="H182" i="1"/>
  <c r="I182" i="1" s="1"/>
  <c r="H168" i="1"/>
  <c r="I168" i="1" s="1"/>
  <c r="H127" i="1"/>
  <c r="H65" i="1"/>
  <c r="I65" i="1" s="1"/>
  <c r="H162" i="1"/>
  <c r="I162" i="1" s="1"/>
  <c r="H180" i="1"/>
  <c r="I180" i="1" s="1"/>
  <c r="H80" i="1"/>
  <c r="I80" i="1" s="1"/>
  <c r="H17" i="1"/>
  <c r="H149" i="1"/>
  <c r="I149" i="1" s="1"/>
  <c r="H178" i="1"/>
  <c r="I178" i="1" s="1"/>
  <c r="H159" i="1"/>
  <c r="I159" i="1" s="1"/>
  <c r="H93" i="1"/>
  <c r="I93" i="1" s="1"/>
  <c r="H92" i="1"/>
  <c r="I92" i="1" s="1"/>
  <c r="H103" i="1"/>
  <c r="I103" i="1" s="1"/>
  <c r="H195" i="1"/>
  <c r="I195" i="1" s="1"/>
  <c r="H64" i="1"/>
  <c r="H113" i="1"/>
  <c r="I113" i="1" s="1"/>
  <c r="H26" i="1"/>
  <c r="I26" i="1" s="1"/>
  <c r="H53" i="1"/>
  <c r="H5" i="1"/>
  <c r="H181" i="1"/>
  <c r="I181" i="1" s="1"/>
  <c r="H119" i="1"/>
  <c r="I119" i="1" s="1"/>
  <c r="H125" i="1"/>
  <c r="H78" i="1"/>
  <c r="H170" i="1"/>
  <c r="I170" i="1" s="1"/>
  <c r="H90" i="1"/>
  <c r="I90" i="1" s="1"/>
  <c r="H139" i="1"/>
  <c r="I139" i="1" s="1"/>
  <c r="H59" i="1"/>
  <c r="I59" i="1" s="1"/>
  <c r="H99" i="1"/>
  <c r="I99" i="1" s="1"/>
  <c r="H118" i="1"/>
  <c r="I118" i="1" s="1"/>
  <c r="H192" i="1"/>
  <c r="H97" i="1"/>
  <c r="H184" i="1"/>
  <c r="I184" i="1" s="1"/>
  <c r="H22" i="1"/>
  <c r="H187" i="1"/>
  <c r="I187" i="1" s="1"/>
  <c r="H111" i="1"/>
  <c r="I111" i="1" s="1"/>
  <c r="H47" i="1"/>
  <c r="I47" i="1" s="1"/>
  <c r="H128" i="1"/>
  <c r="I128" i="1" s="1"/>
  <c r="AN90" i="1" l="1"/>
  <c r="AO90" i="1" s="1"/>
  <c r="AN79" i="1"/>
  <c r="AO79" i="1" s="1"/>
  <c r="I64" i="1"/>
  <c r="I38" i="1"/>
  <c r="I89" i="1"/>
  <c r="I97" i="1"/>
  <c r="Q80" i="1"/>
  <c r="I17" i="1"/>
  <c r="I4" i="1"/>
  <c r="I145" i="1"/>
  <c r="I125" i="1"/>
  <c r="I5" i="1"/>
  <c r="Q68" i="1"/>
  <c r="Q94" i="1"/>
  <c r="I53" i="1"/>
  <c r="I127" i="1"/>
  <c r="I22" i="1"/>
  <c r="I78" i="1"/>
  <c r="I3" i="1"/>
  <c r="I133" i="1"/>
  <c r="I79" i="1"/>
  <c r="Q59" i="1"/>
  <c r="Q105" i="1"/>
  <c r="I174" i="1"/>
  <c r="I163" i="1"/>
</calcChain>
</file>

<file path=xl/sharedStrings.xml><?xml version="1.0" encoding="utf-8"?>
<sst xmlns="http://schemas.openxmlformats.org/spreadsheetml/2006/main" count="622" uniqueCount="245">
  <si>
    <t>Aplicație / Repository</t>
  </si>
  <si>
    <t>E1
AIC-1
×2</t>
  </si>
  <si>
    <t>E1
AIC-2
×2</t>
  </si>
  <si>
    <t>E1
AIC-3
×1</t>
  </si>
  <si>
    <t>E1
AIC-4
×2</t>
  </si>
  <si>
    <t>E1
AIC-5
×1</t>
  </si>
  <si>
    <t>E1
AIC-6
×2</t>
  </si>
  <si>
    <t>E1
Total
(0-20)</t>
  </si>
  <si>
    <t>E1
Categorie</t>
  </si>
  <si>
    <t>E2
AIC-1
×2</t>
  </si>
  <si>
    <t>E2
AIC-2
×2</t>
  </si>
  <si>
    <t>E2
AIC-3
×1</t>
  </si>
  <si>
    <t>E2
AIC-4
×2</t>
  </si>
  <si>
    <t>E2
AIC-5
×1</t>
  </si>
  <si>
    <t>E2
AIC-6
×2</t>
  </si>
  <si>
    <t>E2
Total
(0-20)</t>
  </si>
  <si>
    <t>E2
Categorie</t>
  </si>
  <si>
    <t>Ollama</t>
  </si>
  <si>
    <t>Open WebUI</t>
  </si>
  <si>
    <t>LibreChat</t>
  </si>
  <si>
    <t>LM Studio</t>
  </si>
  <si>
    <t>GPT4All</t>
  </si>
  <si>
    <t>PrivateGPT</t>
  </si>
  <si>
    <t>Chatbot UI</t>
  </si>
  <si>
    <t>Jan</t>
  </si>
  <si>
    <t>AnythingLLM</t>
  </si>
  <si>
    <t>SillyTavern</t>
  </si>
  <si>
    <t>Lobe Chat</t>
  </si>
  <si>
    <t>BionicGPT</t>
  </si>
  <si>
    <t>Cheshire Cat AI</t>
  </si>
  <si>
    <t>Flowise</t>
  </si>
  <si>
    <t>Dify</t>
  </si>
  <si>
    <t>AutoGPT</t>
  </si>
  <si>
    <t>MetaGPT</t>
  </si>
  <si>
    <t>CrewAI</t>
  </si>
  <si>
    <t>AutoGen (Microsoft)</t>
  </si>
  <si>
    <t>SuperAGI</t>
  </si>
  <si>
    <t>BabyAGI</t>
  </si>
  <si>
    <t>AgentGPT</t>
  </si>
  <si>
    <t>n8n (AI nodes)</t>
  </si>
  <si>
    <t>Langflow</t>
  </si>
  <si>
    <t>Botpress</t>
  </si>
  <si>
    <t>LlamaIndex</t>
  </si>
  <si>
    <t>Haystack (deepset)</t>
  </si>
  <si>
    <t>Verba</t>
  </si>
  <si>
    <t>RAGFlow</t>
  </si>
  <si>
    <t>Khoj</t>
  </si>
  <si>
    <t>Quivr</t>
  </si>
  <si>
    <t>Danswer</t>
  </si>
  <si>
    <t>DocsGPT</t>
  </si>
  <si>
    <t>Cognita</t>
  </si>
  <si>
    <t>Continue</t>
  </si>
  <si>
    <t>Tabby</t>
  </si>
  <si>
    <t>Aider</t>
  </si>
  <si>
    <t>GPT Engineer</t>
  </si>
  <si>
    <t>Cody (Sourcegraph)</t>
  </si>
  <si>
    <t>Cursor (open components)</t>
  </si>
  <si>
    <t>SWE-agent</t>
  </si>
  <si>
    <t>Stable Diffusion WebUI</t>
  </si>
  <si>
    <t>ComfyUI</t>
  </si>
  <si>
    <t>InvokeAI</t>
  </si>
  <si>
    <t>Fooocus</t>
  </si>
  <si>
    <t>AudioCraft (Meta)</t>
  </si>
  <si>
    <t>Whisper (OpenAI)</t>
  </si>
  <si>
    <t>Coqui TTS</t>
  </si>
  <si>
    <t>Bark</t>
  </si>
  <si>
    <t>Wav2Lip</t>
  </si>
  <si>
    <t>Segment Anything (Meta SAM)</t>
  </si>
  <si>
    <t>YOLOv8 (Ultralytics)</t>
  </si>
  <si>
    <t>DeepFace</t>
  </si>
  <si>
    <t>InsightFace</t>
  </si>
  <si>
    <t>Moondream</t>
  </si>
  <si>
    <t>LLaVA</t>
  </si>
  <si>
    <t>GroundingDINO</t>
  </si>
  <si>
    <t>Mediapipe (Google)</t>
  </si>
  <si>
    <t>CLIP (OpenAI)</t>
  </si>
  <si>
    <t>Transformers (Hugging Face)</t>
  </si>
  <si>
    <t>spaCy</t>
  </si>
  <si>
    <t>NLTK</t>
  </si>
  <si>
    <t>FastText (Meta)</t>
  </si>
  <si>
    <t>Sentence Transformers</t>
  </si>
  <si>
    <t>TextBlob</t>
  </si>
  <si>
    <t>Haystack NLP</t>
  </si>
  <si>
    <t>Argilla</t>
  </si>
  <si>
    <t>PyTorch</t>
  </si>
  <si>
    <t>TensorFlow</t>
  </si>
  <si>
    <t>scikit-learn</t>
  </si>
  <si>
    <t>Keras</t>
  </si>
  <si>
    <t>JAX (Google)</t>
  </si>
  <si>
    <t>LightGBM (Microsoft)</t>
  </si>
  <si>
    <t>XGBoost</t>
  </si>
  <si>
    <t>FastAI</t>
  </si>
  <si>
    <t>MedSAM</t>
  </si>
  <si>
    <t>BioGPT (Microsoft)</t>
  </si>
  <si>
    <t>DeepChem</t>
  </si>
  <si>
    <t>AlphaFold (DeepMind)</t>
  </si>
  <si>
    <t>TorchXRayVision</t>
  </si>
  <si>
    <t>MONAI</t>
  </si>
  <si>
    <t>Nav2 (ROS 2)</t>
  </si>
  <si>
    <t>Gymnasium (OpenAI)</t>
  </si>
  <si>
    <t>Stable-Baselines3</t>
  </si>
  <si>
    <t>Isaac Lab (NVIDIA)</t>
  </si>
  <si>
    <t>PaddleOCR</t>
  </si>
  <si>
    <t>EasyOCR</t>
  </si>
  <si>
    <t>LangChain</t>
  </si>
  <si>
    <t>MLflow</t>
  </si>
  <si>
    <t>Weights &amp; Biases (wandb)</t>
  </si>
  <si>
    <t>Label Studio</t>
  </si>
  <si>
    <t>Unsloth</t>
  </si>
  <si>
    <t>Axolotl</t>
  </si>
  <si>
    <t>vLLM</t>
  </si>
  <si>
    <t>Marimo</t>
  </si>
  <si>
    <t>Crawl4AI</t>
  </si>
  <si>
    <t>Apache Airflow</t>
  </si>
  <si>
    <t>Apache NiFi</t>
  </si>
  <si>
    <t>Prefect</t>
  </si>
  <si>
    <t>Temporal</t>
  </si>
  <si>
    <t>Activepieces</t>
  </si>
  <si>
    <t>Celery</t>
  </si>
  <si>
    <t>Apache Kafka</t>
  </si>
  <si>
    <t>Luigi (Spotify)</t>
  </si>
  <si>
    <t>Dagster</t>
  </si>
  <si>
    <t>Conductor (Netflix)</t>
  </si>
  <si>
    <t>Apache Superset</t>
  </si>
  <si>
    <t>Metabase</t>
  </si>
  <si>
    <t>Redash</t>
  </si>
  <si>
    <t>Grafana</t>
  </si>
  <si>
    <t>Prometheus</t>
  </si>
  <si>
    <t>Kibana (ELK)</t>
  </si>
  <si>
    <t>Apache Spark</t>
  </si>
  <si>
    <t>DuckDB</t>
  </si>
  <si>
    <t>Great Expectations</t>
  </si>
  <si>
    <t>LightFM</t>
  </si>
  <si>
    <t>Implicit (ALS)</t>
  </si>
  <si>
    <t>Surprise (SVD/KNN)</t>
  </si>
  <si>
    <t>RecBole</t>
  </si>
  <si>
    <t>Gorse</t>
  </si>
  <si>
    <t>Apache Mahout</t>
  </si>
  <si>
    <t>Rasa (NLU rules)</t>
  </si>
  <si>
    <t>Mycroft AI</t>
  </si>
  <si>
    <t>Elasticsearch</t>
  </si>
  <si>
    <t>Apache Solr</t>
  </si>
  <si>
    <t>Meilisearch</t>
  </si>
  <si>
    <t>Typesense</t>
  </si>
  <si>
    <t>Whoosh</t>
  </si>
  <si>
    <t>Manticoresearch</t>
  </si>
  <si>
    <t>Zinc Search</t>
  </si>
  <si>
    <t>Tantivy</t>
  </si>
  <si>
    <t>Snort</t>
  </si>
  <si>
    <t>Suricata</t>
  </si>
  <si>
    <t>OSSEC</t>
  </si>
  <si>
    <t>Wazuh</t>
  </si>
  <si>
    <t>Falco</t>
  </si>
  <si>
    <t>ClamAV</t>
  </si>
  <si>
    <t>YARA</t>
  </si>
  <si>
    <t>Zeek (Bro)</t>
  </si>
  <si>
    <t>OpenNLP (Apache)</t>
  </si>
  <si>
    <t>Duckling (Meta)</t>
  </si>
  <si>
    <t>Annoy (Spotify)</t>
  </si>
  <si>
    <t>Hunspell</t>
  </si>
  <si>
    <t>Snowball (stemmer)</t>
  </si>
  <si>
    <t>Lingua (language detect)</t>
  </si>
  <si>
    <t>FuzzyWuzzy / RapidFuzz</t>
  </si>
  <si>
    <t>ImageMagick</t>
  </si>
  <si>
    <t>FFmpeg</t>
  </si>
  <si>
    <t>Pillow (PIL)</t>
  </si>
  <si>
    <t>OpenCV (core, no DNN)</t>
  </si>
  <si>
    <t>scikit-image</t>
  </si>
  <si>
    <t>Wand (ImageMagick Python)</t>
  </si>
  <si>
    <t>Cairosvg</t>
  </si>
  <si>
    <t>D3.js</t>
  </si>
  <si>
    <t>ROS 2 (core)</t>
  </si>
  <si>
    <t>MoveIt</t>
  </si>
  <si>
    <t>SLAM Toolbox</t>
  </si>
  <si>
    <t>ArduPilot</t>
  </si>
  <si>
    <t>PX4 Autopilot</t>
  </si>
  <si>
    <t>Gazebo (Ignition)</t>
  </si>
  <si>
    <t>OpenPLC Runtime</t>
  </si>
  <si>
    <t>Qdrant</t>
  </si>
  <si>
    <t>Chroma</t>
  </si>
  <si>
    <t>Weaviate</t>
  </si>
  <si>
    <t>Milvus</t>
  </si>
  <si>
    <t>pgvector</t>
  </si>
  <si>
    <t>Redis (Vector Search)</t>
  </si>
  <si>
    <t>LanceDB</t>
  </si>
  <si>
    <t>FAISS (Facebook)</t>
  </si>
  <si>
    <t>SonarQube</t>
  </si>
  <si>
    <t>ESLint</t>
  </si>
  <si>
    <t>Pylint</t>
  </si>
  <si>
    <t>CodeQL</t>
  </si>
  <si>
    <t>Semgrep</t>
  </si>
  <si>
    <t>Infer (Meta)</t>
  </si>
  <si>
    <t>Bandit</t>
  </si>
  <si>
    <t>Black (formatter)</t>
  </si>
  <si>
    <t>Prettier</t>
  </si>
  <si>
    <t>Ansible</t>
  </si>
  <si>
    <t>Terraform</t>
  </si>
  <si>
    <t>Kubernetes</t>
  </si>
  <si>
    <t>Netdata</t>
  </si>
  <si>
    <t>Checkmk</t>
  </si>
  <si>
    <t>Zabbix</t>
  </si>
  <si>
    <t>Icinga</t>
  </si>
  <si>
    <t>OpenTelemetry</t>
  </si>
  <si>
    <t>Home Assistant</t>
  </si>
  <si>
    <t>OpenHAB</t>
  </si>
  <si>
    <t>Huginn</t>
  </si>
  <si>
    <t>Cal.com</t>
  </si>
  <si>
    <t>OpenProject</t>
  </si>
  <si>
    <t>Gitea</t>
  </si>
  <si>
    <t>Authentik</t>
  </si>
  <si>
    <t>E3
AIC-1
×2</t>
  </si>
  <si>
    <t>E3
AIC-2
×2</t>
  </si>
  <si>
    <t>E3
AIC-3
×1</t>
  </si>
  <si>
    <t>E3
AIC-4
×2</t>
  </si>
  <si>
    <t>E3
AIC-5
×1</t>
  </si>
  <si>
    <t>E3
AIC-6
×2</t>
  </si>
  <si>
    <t>E3
Total
(0-20)</t>
  </si>
  <si>
    <t>E3
Categorie</t>
  </si>
  <si>
    <t>E4
AIC-1
×2</t>
  </si>
  <si>
    <t>E4
AIC-2
×2</t>
  </si>
  <si>
    <t>E4
AIC-3
×1</t>
  </si>
  <si>
    <t>E4
AIC-4
×2</t>
  </si>
  <si>
    <t>E4
AIC-5
×1</t>
  </si>
  <si>
    <t>E4
AIC-6
×2</t>
  </si>
  <si>
    <t>E4
Total
(0-20)</t>
  </si>
  <si>
    <t>E4
Categorie</t>
  </si>
  <si>
    <t>CoreNLP</t>
  </si>
  <si>
    <t>n8n (no AI nodes)</t>
  </si>
  <si>
    <t>OpenCV (Open Source Computer Vision Library)</t>
  </si>
  <si>
    <t>OpenHands</t>
  </si>
  <si>
    <t>Pandas (library)</t>
  </si>
  <si>
    <t>Vane</t>
  </si>
  <si>
    <t>AI-ENABLED</t>
  </si>
  <si>
    <t>AI-ADJACENT</t>
  </si>
  <si>
    <t>DETERMINIST</t>
  </si>
  <si>
    <t>AI-CORE</t>
  </si>
  <si>
    <t>AI-NATIVE</t>
  </si>
  <si>
    <t>AIC1</t>
  </si>
  <si>
    <t>AIC2</t>
  </si>
  <si>
    <t>AIC3</t>
  </si>
  <si>
    <t>AIC4</t>
  </si>
  <si>
    <t>AIC5</t>
  </si>
  <si>
    <t>AIC6</t>
  </si>
  <si>
    <t>TOTAL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</si>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</sst>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0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D47A1"/>
      </patternFill>
    </fill>
    <fill>
      <patternFill patternType="solid">
        <fgColor rgb="FF2E7D32"/>
      </patternFill>
    </fill>
    <fill>
      <patternFill patternType="solid">
        <fgColor rgb="FF1E4D2B"/>
      </patternFill>
    </fill>
    <fill>
      <patternFill patternType="solid">
        <fgColor rgb="FFEBF3FB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E0F2F1"/>
      </patternFill>
    </fill>
    <fill>
      <patternFill patternType="solid">
        <fgColor rgb="FFF9FBE7"/>
      </patternFill>
    </fill>
    <fill>
      <patternFill patternType="solid">
        <fgColor rgb="FFE8EAF6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EFEBE9"/>
      </patternFill>
    </fill>
    <fill>
      <patternFill patternType="solid">
        <fgColor rgb="FFFFF3E0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 style="thin">
        <color rgb="FF888888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21" borderId="1" xfId="0" applyFill="1" applyBorder="1"/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0"/>
  <sheetViews>
    <sheetView tabSelected="1" zoomScale="78" zoomScaleNormal="78" workbookViewId="0">
      <pane ySplit="1" topLeftCell="A2" activePane="bottomLeft" state="frozen"/>
      <selection pane="bottomLeft" activeCell="AH2" sqref="AH2:AO200"/>
    </sheetView>
  </sheetViews>
  <sheetFormatPr defaultRowHeight="14.4" x14ac:dyDescent="0.3"/>
  <cols>
    <col min="1" max="1" width="28" customWidth="1"/>
    <col min="2" max="7" width="8" customWidth="1"/>
    <col min="8" max="8" width="10" customWidth="1"/>
    <col min="9" max="9" width="16" customWidth="1"/>
    <col min="10" max="15" width="8" customWidth="1"/>
    <col min="16" max="16" width="10" customWidth="1"/>
    <col min="17" max="17" width="16" customWidth="1"/>
    <col min="25" max="25" width="12.33203125" bestFit="1" customWidth="1"/>
    <col min="33" max="33" width="14.44140625" customWidth="1"/>
    <col min="41" max="41" width="17.109375" customWidth="1"/>
  </cols>
  <sheetData>
    <row r="1" spans="1:41" ht="52.0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3" t="s">
        <v>210</v>
      </c>
      <c r="S1" s="3" t="s">
        <v>211</v>
      </c>
      <c r="T1" s="3" t="s">
        <v>212</v>
      </c>
      <c r="U1" s="3" t="s">
        <v>213</v>
      </c>
      <c r="V1" s="3" t="s">
        <v>214</v>
      </c>
      <c r="W1" s="3" t="s">
        <v>215</v>
      </c>
      <c r="X1" s="4" t="s">
        <v>216</v>
      </c>
      <c r="Y1" s="4" t="s">
        <v>217</v>
      </c>
      <c r="Z1" s="5" t="s">
        <v>218</v>
      </c>
      <c r="AA1" s="5" t="s">
        <v>219</v>
      </c>
      <c r="AB1" s="5" t="s">
        <v>220</v>
      </c>
      <c r="AC1" s="5" t="s">
        <v>221</v>
      </c>
      <c r="AD1" s="5" t="s">
        <v>222</v>
      </c>
      <c r="AE1" s="5" t="s">
        <v>223</v>
      </c>
      <c r="AF1" s="6" t="s">
        <v>224</v>
      </c>
      <c r="AG1" s="6" t="s">
        <v>225</v>
      </c>
      <c r="AH1" s="22" t="s">
        <v>237</v>
      </c>
      <c r="AI1" s="22" t="s">
        <v>238</v>
      </c>
      <c r="AJ1" s="22" t="s">
        <v>239</v>
      </c>
      <c r="AK1" s="22" t="s">
        <v>240</v>
      </c>
      <c r="AL1" s="22" t="s">
        <v>241</v>
      </c>
      <c r="AM1" s="22" t="s">
        <v>242</v>
      </c>
      <c r="AN1" s="22" t="s">
        <v>243</v>
      </c>
      <c r="AO1" s="22" t="s">
        <v>244</v>
      </c>
    </row>
    <row r="2" spans="1:41" ht="30" customHeight="1" x14ac:dyDescent="0.3">
      <c r="A2" s="7" t="s">
        <v>117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9">
        <f t="shared" ref="H2:H33" si="0">B2*2+C2*2+D2+E2*2+F2+G2*2</f>
        <v>0</v>
      </c>
      <c r="I2" s="10" t="str">
        <f t="shared" ref="I2:I33" si="1">IF(H2="","",IF(H2&lt;=2,"DETERMINIST",IF(H2&lt;=6,"AI-ADJACENT",IF(H2&lt;=11,"AI-ENABLED",IF(H2&lt;=17,"AI-CORE","AI-NATIVE")))))</f>
        <v>DETERMINIST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9">
        <f t="shared" ref="P2:P33" si="2">J2*2+K2*2+L2+M2*2+N2+O2*2</f>
        <v>0</v>
      </c>
      <c r="Q2" s="10" t="str">
        <f t="shared" ref="Q2:Q33" si="3">IF(P2="","",IF(P2&lt;=2,"DETERMINIST",IF(P2&lt;=6,"AI-ADJACENT",IF(P2&lt;=11,"AI-ENABLED",IF(P2&lt;=17,"AI-CORE","AI-NATIVE")))))</f>
        <v>DETERMINIST</v>
      </c>
      <c r="R2">
        <v>2</v>
      </c>
      <c r="S2">
        <v>2</v>
      </c>
      <c r="T2">
        <v>0</v>
      </c>
      <c r="U2">
        <v>0</v>
      </c>
      <c r="V2">
        <v>2</v>
      </c>
      <c r="W2">
        <v>0</v>
      </c>
      <c r="X2">
        <v>10</v>
      </c>
      <c r="Y2" t="s">
        <v>232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 t="s">
        <v>234</v>
      </c>
      <c r="AH2">
        <f>AVERAGE(B2,J2,R2,Z2)</f>
        <v>0.5</v>
      </c>
      <c r="AI2" s="1">
        <f t="shared" ref="AI2:AM17" si="4">AVERAGE(C2,K2,S2,AA2)</f>
        <v>0.5</v>
      </c>
      <c r="AJ2" s="1">
        <f t="shared" si="4"/>
        <v>0</v>
      </c>
      <c r="AK2" s="1">
        <f t="shared" si="4"/>
        <v>0</v>
      </c>
      <c r="AL2" s="1">
        <f t="shared" si="4"/>
        <v>0.5</v>
      </c>
      <c r="AM2" s="1">
        <f t="shared" si="4"/>
        <v>0</v>
      </c>
      <c r="AN2">
        <f>AH2*2+AI2*2+AJ2+AK2*2+AL2+AM2*2</f>
        <v>2.5</v>
      </c>
      <c r="AO2" s="23" t="str">
        <f t="shared" ref="AO2:AO65" si="5">IF(AN2="","",IF(AN2&lt;=2,"DETERMINIST",IF(AN2&lt;=6,"AI-ADJACENT",IF(AN2&lt;=11,"AI-ENABLED",IF(AN2&lt;=17,"AI-CORE","AI-NATIVE")))))</f>
        <v>AI-ADJACENT</v>
      </c>
    </row>
    <row r="3" spans="1:41" ht="30" customHeight="1" x14ac:dyDescent="0.3">
      <c r="A3" s="11" t="s">
        <v>38</v>
      </c>
      <c r="B3" s="8">
        <v>2</v>
      </c>
      <c r="C3" s="8">
        <v>2</v>
      </c>
      <c r="D3" s="8">
        <v>0</v>
      </c>
      <c r="E3" s="8">
        <v>2</v>
      </c>
      <c r="F3" s="8">
        <v>2</v>
      </c>
      <c r="G3" s="8">
        <v>2</v>
      </c>
      <c r="H3" s="9">
        <f t="shared" si="0"/>
        <v>18</v>
      </c>
      <c r="I3" s="10" t="str">
        <f t="shared" si="1"/>
        <v>AI-NATIVE</v>
      </c>
      <c r="J3" s="8">
        <v>2</v>
      </c>
      <c r="K3" s="8">
        <v>2</v>
      </c>
      <c r="L3" s="8">
        <v>1</v>
      </c>
      <c r="M3" s="8">
        <v>2</v>
      </c>
      <c r="N3" s="8">
        <v>2</v>
      </c>
      <c r="O3" s="8">
        <v>2</v>
      </c>
      <c r="P3" s="9">
        <f t="shared" si="2"/>
        <v>19</v>
      </c>
      <c r="Q3" s="10" t="str">
        <f t="shared" si="3"/>
        <v>AI-NATIVE</v>
      </c>
      <c r="R3">
        <v>0</v>
      </c>
      <c r="S3">
        <v>0</v>
      </c>
      <c r="T3">
        <v>1</v>
      </c>
      <c r="U3">
        <v>0</v>
      </c>
      <c r="V3">
        <v>1</v>
      </c>
      <c r="W3">
        <v>2</v>
      </c>
      <c r="X3">
        <v>6</v>
      </c>
      <c r="Y3" t="s">
        <v>233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2</v>
      </c>
      <c r="AF3" s="1">
        <v>4</v>
      </c>
      <c r="AG3" s="1" t="s">
        <v>233</v>
      </c>
      <c r="AH3" s="1">
        <f t="shared" ref="AH3:AL66" si="6">AVERAGE(B3,J3,R3,Z3)</f>
        <v>1</v>
      </c>
      <c r="AI3" s="1">
        <f t="shared" si="4"/>
        <v>1</v>
      </c>
      <c r="AJ3" s="1">
        <f t="shared" si="4"/>
        <v>0.5</v>
      </c>
      <c r="AK3" s="1">
        <f t="shared" si="4"/>
        <v>1</v>
      </c>
      <c r="AL3" s="1">
        <f t="shared" si="4"/>
        <v>1.25</v>
      </c>
      <c r="AM3" s="1">
        <f t="shared" si="4"/>
        <v>2</v>
      </c>
      <c r="AN3" s="1">
        <f t="shared" ref="AN3:AN66" si="7">AH3*2+AI3*2+AJ3+AK3*2+AL3+AM3*2</f>
        <v>11.75</v>
      </c>
      <c r="AO3" s="23" t="str">
        <f t="shared" si="5"/>
        <v>AI-CORE</v>
      </c>
    </row>
    <row r="4" spans="1:41" ht="30" customHeight="1" x14ac:dyDescent="0.3">
      <c r="A4" s="13" t="s">
        <v>53</v>
      </c>
      <c r="B4" s="8">
        <v>0</v>
      </c>
      <c r="C4" s="8">
        <v>2</v>
      </c>
      <c r="D4" s="8">
        <v>0</v>
      </c>
      <c r="E4" s="8">
        <v>2</v>
      </c>
      <c r="F4" s="8">
        <v>2</v>
      </c>
      <c r="G4" s="8">
        <v>2</v>
      </c>
      <c r="H4" s="9">
        <f t="shared" si="0"/>
        <v>14</v>
      </c>
      <c r="I4" s="10" t="str">
        <f t="shared" si="1"/>
        <v>AI-CORE</v>
      </c>
      <c r="J4" s="8">
        <v>2</v>
      </c>
      <c r="K4" s="8">
        <v>2</v>
      </c>
      <c r="L4" s="8">
        <v>0</v>
      </c>
      <c r="M4" s="8">
        <v>2</v>
      </c>
      <c r="N4" s="8">
        <v>2</v>
      </c>
      <c r="O4" s="8">
        <v>2</v>
      </c>
      <c r="P4" s="9">
        <f t="shared" si="2"/>
        <v>18</v>
      </c>
      <c r="Q4" s="10" t="str">
        <f t="shared" si="3"/>
        <v>AI-NATIVE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234</v>
      </c>
      <c r="Z4" s="1">
        <v>2</v>
      </c>
      <c r="AA4" s="1">
        <v>2</v>
      </c>
      <c r="AB4" s="1">
        <v>0</v>
      </c>
      <c r="AC4" s="1">
        <v>2</v>
      </c>
      <c r="AD4" s="1">
        <v>2</v>
      </c>
      <c r="AE4" s="1">
        <v>2</v>
      </c>
      <c r="AF4" s="1">
        <v>18</v>
      </c>
      <c r="AG4" s="1" t="s">
        <v>236</v>
      </c>
      <c r="AH4" s="1">
        <f t="shared" si="6"/>
        <v>1</v>
      </c>
      <c r="AI4" s="1">
        <f t="shared" si="4"/>
        <v>1.5</v>
      </c>
      <c r="AJ4" s="1">
        <f t="shared" si="4"/>
        <v>0</v>
      </c>
      <c r="AK4" s="1">
        <f t="shared" si="4"/>
        <v>1.5</v>
      </c>
      <c r="AL4" s="1">
        <f t="shared" si="4"/>
        <v>1.5</v>
      </c>
      <c r="AM4" s="1">
        <f t="shared" si="4"/>
        <v>1.5</v>
      </c>
      <c r="AN4" s="1">
        <f t="shared" si="7"/>
        <v>12.5</v>
      </c>
      <c r="AO4" s="23" t="str">
        <f t="shared" si="5"/>
        <v>AI-CORE</v>
      </c>
    </row>
    <row r="5" spans="1:41" ht="30" customHeight="1" x14ac:dyDescent="0.3">
      <c r="A5" s="18" t="s">
        <v>95</v>
      </c>
      <c r="B5" s="8">
        <v>2</v>
      </c>
      <c r="C5" s="8">
        <v>2</v>
      </c>
      <c r="D5" s="8">
        <v>0</v>
      </c>
      <c r="E5" s="8">
        <v>2</v>
      </c>
      <c r="F5" s="8">
        <v>1</v>
      </c>
      <c r="G5" s="8">
        <v>1</v>
      </c>
      <c r="H5" s="9">
        <f t="shared" si="0"/>
        <v>15</v>
      </c>
      <c r="I5" s="10" t="str">
        <f t="shared" si="1"/>
        <v>AI-CORE</v>
      </c>
      <c r="J5" s="8">
        <v>2</v>
      </c>
      <c r="K5" s="8">
        <v>2</v>
      </c>
      <c r="L5" s="8">
        <v>0</v>
      </c>
      <c r="M5" s="8">
        <v>2</v>
      </c>
      <c r="N5" s="8">
        <v>0</v>
      </c>
      <c r="O5" s="8">
        <v>2</v>
      </c>
      <c r="P5" s="9">
        <f t="shared" si="2"/>
        <v>16</v>
      </c>
      <c r="Q5" s="10" t="str">
        <f t="shared" si="3"/>
        <v>AI-CORE</v>
      </c>
      <c r="R5">
        <v>2</v>
      </c>
      <c r="S5">
        <v>2</v>
      </c>
      <c r="T5">
        <v>0</v>
      </c>
      <c r="U5">
        <v>2</v>
      </c>
      <c r="V5">
        <v>0</v>
      </c>
      <c r="W5">
        <v>0</v>
      </c>
      <c r="X5">
        <v>12</v>
      </c>
      <c r="Y5" t="s">
        <v>235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 t="s">
        <v>234</v>
      </c>
      <c r="AH5" s="1">
        <f t="shared" si="6"/>
        <v>1.5</v>
      </c>
      <c r="AI5" s="1">
        <f t="shared" si="4"/>
        <v>1.5</v>
      </c>
      <c r="AJ5" s="1">
        <f t="shared" si="4"/>
        <v>0</v>
      </c>
      <c r="AK5" s="1">
        <f t="shared" si="4"/>
        <v>1.5</v>
      </c>
      <c r="AL5" s="1">
        <f t="shared" si="4"/>
        <v>0.25</v>
      </c>
      <c r="AM5" s="1">
        <f t="shared" si="4"/>
        <v>0.75</v>
      </c>
      <c r="AN5" s="1">
        <f t="shared" si="7"/>
        <v>10.75</v>
      </c>
      <c r="AO5" s="23" t="str">
        <f t="shared" si="5"/>
        <v>AI-ENABLED</v>
      </c>
    </row>
    <row r="6" spans="1:41" ht="30" customHeight="1" x14ac:dyDescent="0.3">
      <c r="A6" s="15" t="s">
        <v>158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9">
        <f t="shared" si="0"/>
        <v>0</v>
      </c>
      <c r="I6" s="10" t="str">
        <f t="shared" si="1"/>
        <v>DETERMINIST</v>
      </c>
      <c r="J6" s="8">
        <v>1</v>
      </c>
      <c r="K6" s="8">
        <v>1</v>
      </c>
      <c r="L6" s="8">
        <v>0</v>
      </c>
      <c r="M6" s="8">
        <v>0</v>
      </c>
      <c r="N6" s="8">
        <v>1</v>
      </c>
      <c r="O6" s="8">
        <v>0</v>
      </c>
      <c r="P6" s="9">
        <f t="shared" si="2"/>
        <v>5</v>
      </c>
      <c r="Q6" s="10" t="str">
        <f t="shared" si="3"/>
        <v>AI-ADJACENT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3</v>
      </c>
      <c r="Y6" t="s">
        <v>233</v>
      </c>
      <c r="Z6" s="1">
        <v>2</v>
      </c>
      <c r="AA6" s="1">
        <v>2</v>
      </c>
      <c r="AB6" s="1">
        <v>0</v>
      </c>
      <c r="AC6" s="1">
        <v>0</v>
      </c>
      <c r="AD6" s="1">
        <v>0</v>
      </c>
      <c r="AE6" s="1">
        <v>0</v>
      </c>
      <c r="AF6" s="1">
        <v>8</v>
      </c>
      <c r="AG6" s="1" t="s">
        <v>232</v>
      </c>
      <c r="AH6" s="1">
        <f t="shared" si="6"/>
        <v>0.75</v>
      </c>
      <c r="AI6" s="1">
        <f t="shared" si="4"/>
        <v>1</v>
      </c>
      <c r="AJ6" s="1">
        <f t="shared" si="4"/>
        <v>0</v>
      </c>
      <c r="AK6" s="1">
        <f t="shared" si="4"/>
        <v>0</v>
      </c>
      <c r="AL6" s="1">
        <f t="shared" si="4"/>
        <v>0.5</v>
      </c>
      <c r="AM6" s="1">
        <f t="shared" si="4"/>
        <v>0</v>
      </c>
      <c r="AN6" s="1">
        <f t="shared" si="7"/>
        <v>4</v>
      </c>
      <c r="AO6" s="23" t="str">
        <f t="shared" si="5"/>
        <v>AI-ADJACENT</v>
      </c>
    </row>
    <row r="7" spans="1:41" ht="30" customHeight="1" x14ac:dyDescent="0.3">
      <c r="A7" s="20" t="s">
        <v>195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9">
        <f t="shared" si="0"/>
        <v>0</v>
      </c>
      <c r="I7" s="10" t="str">
        <f t="shared" si="1"/>
        <v>DETERMINIST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9">
        <f t="shared" si="2"/>
        <v>0</v>
      </c>
      <c r="Q7" s="10" t="str">
        <f t="shared" si="3"/>
        <v>DETERMINIST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234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 t="s">
        <v>234</v>
      </c>
      <c r="AH7" s="1">
        <f t="shared" si="6"/>
        <v>0</v>
      </c>
      <c r="AI7" s="1">
        <f t="shared" si="4"/>
        <v>0</v>
      </c>
      <c r="AJ7" s="1">
        <f t="shared" si="4"/>
        <v>0</v>
      </c>
      <c r="AK7" s="1">
        <f t="shared" si="4"/>
        <v>0</v>
      </c>
      <c r="AL7" s="1">
        <f t="shared" si="4"/>
        <v>0</v>
      </c>
      <c r="AM7" s="1">
        <f t="shared" si="4"/>
        <v>0</v>
      </c>
      <c r="AN7" s="1">
        <f t="shared" si="7"/>
        <v>0</v>
      </c>
      <c r="AO7" s="23" t="str">
        <f t="shared" si="5"/>
        <v>DETERMINIST</v>
      </c>
    </row>
    <row r="8" spans="1:41" ht="30" customHeight="1" x14ac:dyDescent="0.3">
      <c r="A8" s="7" t="s">
        <v>25</v>
      </c>
      <c r="B8" s="8">
        <v>0</v>
      </c>
      <c r="C8" s="8">
        <v>1</v>
      </c>
      <c r="D8" s="8">
        <v>0</v>
      </c>
      <c r="E8" s="8">
        <v>2</v>
      </c>
      <c r="F8" s="8">
        <v>2</v>
      </c>
      <c r="G8" s="8">
        <v>2</v>
      </c>
      <c r="H8" s="9">
        <f t="shared" si="0"/>
        <v>12</v>
      </c>
      <c r="I8" s="10" t="str">
        <f t="shared" si="1"/>
        <v>AI-CORE</v>
      </c>
      <c r="J8" s="8">
        <v>0</v>
      </c>
      <c r="K8" s="8">
        <v>1</v>
      </c>
      <c r="L8" s="8">
        <v>0</v>
      </c>
      <c r="M8" s="8">
        <v>1</v>
      </c>
      <c r="N8" s="8">
        <v>2</v>
      </c>
      <c r="O8" s="8">
        <v>2</v>
      </c>
      <c r="P8" s="9">
        <f t="shared" si="2"/>
        <v>10</v>
      </c>
      <c r="Q8" s="10" t="str">
        <f t="shared" si="3"/>
        <v>AI-ENABLED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2</v>
      </c>
      <c r="Y8" t="s">
        <v>234</v>
      </c>
      <c r="Z8" s="1">
        <v>2</v>
      </c>
      <c r="AA8" s="1">
        <v>2</v>
      </c>
      <c r="AB8" s="1">
        <v>1</v>
      </c>
      <c r="AC8" s="1">
        <v>2</v>
      </c>
      <c r="AD8" s="1">
        <v>2</v>
      </c>
      <c r="AE8" s="1">
        <v>2</v>
      </c>
      <c r="AF8" s="1">
        <v>19</v>
      </c>
      <c r="AG8" s="1" t="s">
        <v>236</v>
      </c>
      <c r="AH8" s="1">
        <f t="shared" si="6"/>
        <v>0.5</v>
      </c>
      <c r="AI8" s="1">
        <f t="shared" si="4"/>
        <v>1.25</v>
      </c>
      <c r="AJ8" s="1">
        <f t="shared" si="4"/>
        <v>0.25</v>
      </c>
      <c r="AK8" s="1">
        <f t="shared" si="4"/>
        <v>1.25</v>
      </c>
      <c r="AL8" s="1">
        <f t="shared" si="4"/>
        <v>1.5</v>
      </c>
      <c r="AM8" s="1">
        <f t="shared" si="4"/>
        <v>1.5</v>
      </c>
      <c r="AN8" s="1">
        <f t="shared" si="7"/>
        <v>10.75</v>
      </c>
      <c r="AO8" s="23" t="str">
        <f t="shared" si="5"/>
        <v>AI-ENABLED</v>
      </c>
    </row>
    <row r="9" spans="1:41" ht="30" customHeight="1" x14ac:dyDescent="0.3">
      <c r="A9" s="7" t="s">
        <v>113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9">
        <f t="shared" si="0"/>
        <v>0</v>
      </c>
      <c r="I9" s="10" t="str">
        <f t="shared" si="1"/>
        <v>DETERMINIST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9">
        <f t="shared" si="2"/>
        <v>0</v>
      </c>
      <c r="Q9" s="10" t="str">
        <f t="shared" si="3"/>
        <v>DETERMINIST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234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 t="s">
        <v>234</v>
      </c>
      <c r="AH9" s="1">
        <f t="shared" si="6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  <c r="AL9" s="1">
        <f t="shared" si="4"/>
        <v>0</v>
      </c>
      <c r="AM9" s="1">
        <f t="shared" si="4"/>
        <v>0</v>
      </c>
      <c r="AN9" s="1">
        <f t="shared" si="7"/>
        <v>0</v>
      </c>
      <c r="AO9" s="23" t="str">
        <f t="shared" si="5"/>
        <v>DETERMINIST</v>
      </c>
    </row>
    <row r="10" spans="1:41" ht="30" customHeight="1" x14ac:dyDescent="0.3">
      <c r="A10" s="7" t="s">
        <v>119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9">
        <f t="shared" si="0"/>
        <v>0</v>
      </c>
      <c r="I10" s="10" t="str">
        <f t="shared" si="1"/>
        <v>DETERMINIST</v>
      </c>
      <c r="J10" s="8">
        <v>0</v>
      </c>
      <c r="K10" s="8">
        <v>0</v>
      </c>
      <c r="L10" s="8">
        <v>1</v>
      </c>
      <c r="M10" s="8">
        <v>0</v>
      </c>
      <c r="N10" s="8">
        <v>0</v>
      </c>
      <c r="O10" s="8">
        <v>0</v>
      </c>
      <c r="P10" s="9">
        <f t="shared" si="2"/>
        <v>1</v>
      </c>
      <c r="Q10" s="10" t="str">
        <f t="shared" si="3"/>
        <v>DETERMINIST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234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 t="s">
        <v>234</v>
      </c>
      <c r="AH10" s="1">
        <f t="shared" si="6"/>
        <v>0</v>
      </c>
      <c r="AI10" s="1">
        <f t="shared" si="4"/>
        <v>0</v>
      </c>
      <c r="AJ10" s="1">
        <f t="shared" si="4"/>
        <v>0.25</v>
      </c>
      <c r="AK10" s="1">
        <f t="shared" si="4"/>
        <v>0</v>
      </c>
      <c r="AL10" s="1">
        <f t="shared" si="4"/>
        <v>0</v>
      </c>
      <c r="AM10" s="1">
        <f t="shared" si="4"/>
        <v>0</v>
      </c>
      <c r="AN10" s="1">
        <f t="shared" si="7"/>
        <v>0.25</v>
      </c>
      <c r="AO10" s="23" t="str">
        <f t="shared" si="5"/>
        <v>DETERMINIST</v>
      </c>
    </row>
    <row r="11" spans="1:41" ht="30" customHeight="1" x14ac:dyDescent="0.3">
      <c r="A11" s="12" t="s">
        <v>137</v>
      </c>
      <c r="B11" s="8">
        <v>2</v>
      </c>
      <c r="C11" s="8">
        <v>2</v>
      </c>
      <c r="D11" s="8">
        <v>0</v>
      </c>
      <c r="E11" s="8">
        <v>2</v>
      </c>
      <c r="F11" s="8">
        <v>1</v>
      </c>
      <c r="G11" s="8">
        <v>1</v>
      </c>
      <c r="H11" s="9">
        <f t="shared" si="0"/>
        <v>15</v>
      </c>
      <c r="I11" s="10" t="str">
        <f t="shared" si="1"/>
        <v>AI-CORE</v>
      </c>
      <c r="J11" s="8">
        <v>1</v>
      </c>
      <c r="K11" s="8">
        <v>1</v>
      </c>
      <c r="L11" s="8">
        <v>0</v>
      </c>
      <c r="M11" s="8">
        <v>1</v>
      </c>
      <c r="N11" s="8">
        <v>0</v>
      </c>
      <c r="O11" s="8">
        <v>0</v>
      </c>
      <c r="P11" s="9">
        <f t="shared" si="2"/>
        <v>6</v>
      </c>
      <c r="Q11" s="10" t="str">
        <f t="shared" si="3"/>
        <v>AI-ADJACENT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 t="s">
        <v>234</v>
      </c>
      <c r="Z11" s="1">
        <v>0</v>
      </c>
      <c r="AA11" s="1">
        <v>1</v>
      </c>
      <c r="AB11" s="1">
        <v>0</v>
      </c>
      <c r="AC11" s="1">
        <v>1</v>
      </c>
      <c r="AD11" s="1">
        <v>0</v>
      </c>
      <c r="AE11" s="1">
        <v>0</v>
      </c>
      <c r="AF11" s="1">
        <v>4</v>
      </c>
      <c r="AG11" s="1" t="s">
        <v>233</v>
      </c>
      <c r="AH11" s="1">
        <f t="shared" si="6"/>
        <v>0.75</v>
      </c>
      <c r="AI11" s="1">
        <f t="shared" si="4"/>
        <v>1</v>
      </c>
      <c r="AJ11" s="1">
        <f t="shared" si="4"/>
        <v>0</v>
      </c>
      <c r="AK11" s="1">
        <f t="shared" si="4"/>
        <v>1</v>
      </c>
      <c r="AL11" s="1">
        <f t="shared" si="4"/>
        <v>0.5</v>
      </c>
      <c r="AM11" s="1">
        <f t="shared" si="4"/>
        <v>0.25</v>
      </c>
      <c r="AN11" s="1">
        <f t="shared" si="7"/>
        <v>6.5</v>
      </c>
      <c r="AO11" s="23" t="str">
        <f t="shared" si="5"/>
        <v>AI-ENABLED</v>
      </c>
    </row>
    <row r="12" spans="1:41" ht="30" customHeight="1" x14ac:dyDescent="0.3">
      <c r="A12" s="7" t="s">
        <v>114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9">
        <f t="shared" si="0"/>
        <v>0</v>
      </c>
      <c r="I12" s="10" t="str">
        <f t="shared" si="1"/>
        <v>DETERMINIST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9">
        <f t="shared" si="2"/>
        <v>0</v>
      </c>
      <c r="Q12" s="10" t="str">
        <f t="shared" si="3"/>
        <v>DETERMINIST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234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 t="s">
        <v>234</v>
      </c>
      <c r="AH12" s="1">
        <f t="shared" si="6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  <c r="AL12" s="1">
        <f t="shared" si="4"/>
        <v>0</v>
      </c>
      <c r="AM12" s="1">
        <f t="shared" si="4"/>
        <v>0</v>
      </c>
      <c r="AN12" s="1">
        <f t="shared" si="7"/>
        <v>0</v>
      </c>
      <c r="AO12" s="23" t="str">
        <f t="shared" si="5"/>
        <v>DETERMINIST</v>
      </c>
    </row>
    <row r="13" spans="1:41" ht="30" customHeight="1" x14ac:dyDescent="0.3">
      <c r="A13" s="13" t="s">
        <v>141</v>
      </c>
      <c r="B13" s="8">
        <v>1</v>
      </c>
      <c r="C13" s="8">
        <v>1</v>
      </c>
      <c r="D13" s="8">
        <v>0</v>
      </c>
      <c r="E13" s="8">
        <v>1</v>
      </c>
      <c r="F13" s="8">
        <v>0</v>
      </c>
      <c r="G13" s="8">
        <v>0</v>
      </c>
      <c r="H13" s="9">
        <f t="shared" si="0"/>
        <v>6</v>
      </c>
      <c r="I13" s="10" t="str">
        <f t="shared" si="1"/>
        <v>AI-ADJACENT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9">
        <f t="shared" si="2"/>
        <v>0</v>
      </c>
      <c r="Q13" s="10" t="str">
        <f t="shared" si="3"/>
        <v>DETERMINIST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2</v>
      </c>
      <c r="Y13" t="s">
        <v>234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2</v>
      </c>
      <c r="AG13" s="1" t="s">
        <v>234</v>
      </c>
      <c r="AH13" s="1">
        <f t="shared" si="6"/>
        <v>0.25</v>
      </c>
      <c r="AI13" s="1">
        <f t="shared" si="4"/>
        <v>0.75</v>
      </c>
      <c r="AJ13" s="1">
        <f t="shared" si="4"/>
        <v>0</v>
      </c>
      <c r="AK13" s="1">
        <f t="shared" si="4"/>
        <v>0.25</v>
      </c>
      <c r="AL13" s="1">
        <f t="shared" si="4"/>
        <v>0</v>
      </c>
      <c r="AM13" s="1">
        <f t="shared" si="4"/>
        <v>0</v>
      </c>
      <c r="AN13" s="1">
        <f t="shared" si="7"/>
        <v>2.5</v>
      </c>
      <c r="AO13" s="23" t="str">
        <f t="shared" si="5"/>
        <v>AI-ADJACENT</v>
      </c>
    </row>
    <row r="14" spans="1:41" ht="30" customHeight="1" x14ac:dyDescent="0.3">
      <c r="A14" s="11" t="s">
        <v>129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9">
        <f t="shared" si="0"/>
        <v>0</v>
      </c>
      <c r="I14" s="10" t="str">
        <f t="shared" si="1"/>
        <v>DETERMINIST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9">
        <f t="shared" si="2"/>
        <v>0</v>
      </c>
      <c r="Q14" s="10" t="str">
        <f t="shared" si="3"/>
        <v>DETERMINIST</v>
      </c>
      <c r="R14">
        <v>2</v>
      </c>
      <c r="S14">
        <v>2</v>
      </c>
      <c r="T14">
        <v>0</v>
      </c>
      <c r="U14">
        <v>1</v>
      </c>
      <c r="V14">
        <v>0</v>
      </c>
      <c r="W14">
        <v>0</v>
      </c>
      <c r="X14">
        <v>10</v>
      </c>
      <c r="Y14" t="s">
        <v>232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 t="s">
        <v>234</v>
      </c>
      <c r="AH14" s="1">
        <f t="shared" si="6"/>
        <v>0.5</v>
      </c>
      <c r="AI14" s="1">
        <f t="shared" si="4"/>
        <v>0.5</v>
      </c>
      <c r="AJ14" s="1">
        <f t="shared" si="4"/>
        <v>0</v>
      </c>
      <c r="AK14" s="1">
        <f t="shared" si="4"/>
        <v>0.25</v>
      </c>
      <c r="AL14" s="1">
        <f t="shared" si="4"/>
        <v>0</v>
      </c>
      <c r="AM14" s="1">
        <f t="shared" si="4"/>
        <v>0</v>
      </c>
      <c r="AN14" s="1">
        <f t="shared" si="7"/>
        <v>2.5</v>
      </c>
      <c r="AO14" s="23" t="str">
        <f t="shared" si="5"/>
        <v>AI-ADJACENT</v>
      </c>
    </row>
    <row r="15" spans="1:41" ht="30" customHeight="1" x14ac:dyDescent="0.3">
      <c r="A15" s="11" t="s">
        <v>123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9">
        <f t="shared" si="0"/>
        <v>0</v>
      </c>
      <c r="I15" s="10" t="str">
        <f t="shared" si="1"/>
        <v>DETERMINIST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9">
        <f t="shared" si="2"/>
        <v>0</v>
      </c>
      <c r="Q15" s="10" t="str">
        <f t="shared" si="3"/>
        <v>DETERMINIST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234</v>
      </c>
      <c r="Z15" s="1">
        <v>2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4</v>
      </c>
      <c r="AG15" s="1" t="s">
        <v>233</v>
      </c>
      <c r="AH15" s="1">
        <f t="shared" si="6"/>
        <v>0.5</v>
      </c>
      <c r="AI15" s="1">
        <f t="shared" si="4"/>
        <v>0</v>
      </c>
      <c r="AJ15" s="1">
        <f t="shared" si="4"/>
        <v>0</v>
      </c>
      <c r="AK15" s="1">
        <f t="shared" si="4"/>
        <v>0</v>
      </c>
      <c r="AL15" s="1">
        <f t="shared" si="4"/>
        <v>0</v>
      </c>
      <c r="AM15" s="1">
        <f t="shared" si="4"/>
        <v>0</v>
      </c>
      <c r="AN15" s="1">
        <f t="shared" si="7"/>
        <v>1</v>
      </c>
      <c r="AO15" s="23" t="str">
        <f t="shared" si="5"/>
        <v>DETERMINIST</v>
      </c>
    </row>
    <row r="16" spans="1:41" ht="30" customHeight="1" x14ac:dyDescent="0.3">
      <c r="A16" s="17" t="s">
        <v>174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1</v>
      </c>
      <c r="H16" s="9">
        <f t="shared" si="0"/>
        <v>4</v>
      </c>
      <c r="I16" s="10" t="str">
        <f t="shared" si="1"/>
        <v>AI-ADJACENT</v>
      </c>
      <c r="J16" s="8">
        <v>0</v>
      </c>
      <c r="K16" s="8">
        <v>0</v>
      </c>
      <c r="L16" s="8">
        <v>1</v>
      </c>
      <c r="M16" s="8">
        <v>0</v>
      </c>
      <c r="N16" s="8">
        <v>1</v>
      </c>
      <c r="O16" s="8">
        <v>1</v>
      </c>
      <c r="P16" s="9">
        <f t="shared" si="2"/>
        <v>4</v>
      </c>
      <c r="Q16" s="10" t="str">
        <f t="shared" si="3"/>
        <v>AI-ADJACENT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234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2</v>
      </c>
      <c r="AF16" s="1">
        <v>4</v>
      </c>
      <c r="AG16" s="1" t="s">
        <v>233</v>
      </c>
      <c r="AH16" s="1">
        <f t="shared" si="6"/>
        <v>0</v>
      </c>
      <c r="AI16" s="1">
        <f t="shared" si="4"/>
        <v>0</v>
      </c>
      <c r="AJ16" s="1">
        <f t="shared" si="4"/>
        <v>0.5</v>
      </c>
      <c r="AK16" s="1">
        <f t="shared" si="4"/>
        <v>0</v>
      </c>
      <c r="AL16" s="1">
        <f t="shared" si="4"/>
        <v>0.5</v>
      </c>
      <c r="AM16" s="1">
        <f t="shared" si="4"/>
        <v>1</v>
      </c>
      <c r="AN16" s="1">
        <f t="shared" si="7"/>
        <v>3</v>
      </c>
      <c r="AO16" s="23" t="str">
        <f t="shared" si="5"/>
        <v>AI-ADJACENT</v>
      </c>
    </row>
    <row r="17" spans="1:41" ht="30" customHeight="1" x14ac:dyDescent="0.3">
      <c r="A17" s="16" t="s">
        <v>83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9">
        <f t="shared" si="0"/>
        <v>0</v>
      </c>
      <c r="I17" s="10" t="str">
        <f t="shared" si="1"/>
        <v>DETERMINIST</v>
      </c>
      <c r="J17" s="8">
        <v>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9">
        <f t="shared" si="2"/>
        <v>2</v>
      </c>
      <c r="Q17" s="10" t="str">
        <f t="shared" si="3"/>
        <v>DETERMINIST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234</v>
      </c>
      <c r="Z17" s="1">
        <v>2</v>
      </c>
      <c r="AA17" s="1">
        <v>2</v>
      </c>
      <c r="AB17" s="1">
        <v>0</v>
      </c>
      <c r="AC17" s="1">
        <v>2</v>
      </c>
      <c r="AD17" s="1">
        <v>2</v>
      </c>
      <c r="AE17" s="1">
        <v>0</v>
      </c>
      <c r="AF17" s="1">
        <v>14</v>
      </c>
      <c r="AG17" s="1" t="s">
        <v>235</v>
      </c>
      <c r="AH17" s="1">
        <f t="shared" si="6"/>
        <v>0.75</v>
      </c>
      <c r="AI17" s="1">
        <f t="shared" si="4"/>
        <v>0.5</v>
      </c>
      <c r="AJ17" s="1">
        <f t="shared" si="4"/>
        <v>0</v>
      </c>
      <c r="AK17" s="1">
        <f t="shared" si="4"/>
        <v>0.5</v>
      </c>
      <c r="AL17" s="1">
        <f t="shared" si="4"/>
        <v>0.5</v>
      </c>
      <c r="AM17" s="1">
        <f t="shared" si="4"/>
        <v>0</v>
      </c>
      <c r="AN17" s="1">
        <f t="shared" si="7"/>
        <v>4</v>
      </c>
      <c r="AO17" s="23" t="str">
        <f t="shared" si="5"/>
        <v>AI-ADJACENT</v>
      </c>
    </row>
    <row r="18" spans="1:41" ht="30" customHeight="1" x14ac:dyDescent="0.3">
      <c r="A18" s="14" t="s">
        <v>62</v>
      </c>
      <c r="B18" s="8">
        <v>2</v>
      </c>
      <c r="C18" s="8">
        <v>2</v>
      </c>
      <c r="D18" s="8">
        <v>0</v>
      </c>
      <c r="E18" s="8">
        <v>2</v>
      </c>
      <c r="F18" s="8">
        <v>2</v>
      </c>
      <c r="G18" s="8">
        <v>1</v>
      </c>
      <c r="H18" s="9">
        <f t="shared" si="0"/>
        <v>16</v>
      </c>
      <c r="I18" s="10" t="str">
        <f t="shared" si="1"/>
        <v>AI-CORE</v>
      </c>
      <c r="J18" s="8">
        <v>2</v>
      </c>
      <c r="K18" s="8">
        <v>2</v>
      </c>
      <c r="L18" s="8">
        <v>0</v>
      </c>
      <c r="M18" s="8">
        <v>2</v>
      </c>
      <c r="N18" s="8">
        <v>2</v>
      </c>
      <c r="O18" s="8">
        <v>2</v>
      </c>
      <c r="P18" s="9">
        <f t="shared" si="2"/>
        <v>18</v>
      </c>
      <c r="Q18" s="10" t="str">
        <f t="shared" si="3"/>
        <v>AI-NATIVE</v>
      </c>
      <c r="R18">
        <v>2</v>
      </c>
      <c r="S18">
        <v>2</v>
      </c>
      <c r="T18">
        <v>2</v>
      </c>
      <c r="U18">
        <v>2</v>
      </c>
      <c r="V18">
        <v>2</v>
      </c>
      <c r="W18">
        <v>0</v>
      </c>
      <c r="X18">
        <v>16</v>
      </c>
      <c r="Y18" t="s">
        <v>235</v>
      </c>
      <c r="Z18" s="1">
        <v>2</v>
      </c>
      <c r="AA18" s="1">
        <v>2</v>
      </c>
      <c r="AB18" s="1">
        <v>0</v>
      </c>
      <c r="AC18" s="1">
        <v>0</v>
      </c>
      <c r="AD18" s="1">
        <v>2</v>
      </c>
      <c r="AE18" s="1">
        <v>0</v>
      </c>
      <c r="AF18" s="1">
        <v>10</v>
      </c>
      <c r="AG18" s="1" t="s">
        <v>232</v>
      </c>
      <c r="AH18" s="1">
        <f t="shared" si="6"/>
        <v>2</v>
      </c>
      <c r="AI18" s="1">
        <f t="shared" si="6"/>
        <v>2</v>
      </c>
      <c r="AJ18" s="1">
        <f t="shared" si="6"/>
        <v>0.5</v>
      </c>
      <c r="AK18" s="1">
        <f t="shared" si="6"/>
        <v>1.5</v>
      </c>
      <c r="AL18" s="1">
        <f t="shared" si="6"/>
        <v>2</v>
      </c>
      <c r="AM18" s="1">
        <f t="shared" ref="AM18:AM81" si="8">AVERAGE(G18,O18,W18,AE18)</f>
        <v>0.75</v>
      </c>
      <c r="AN18" s="1">
        <f t="shared" si="7"/>
        <v>15</v>
      </c>
      <c r="AO18" s="23" t="str">
        <f t="shared" si="5"/>
        <v>AI-CORE</v>
      </c>
    </row>
    <row r="19" spans="1:41" ht="30" customHeight="1" x14ac:dyDescent="0.3">
      <c r="A19" s="21" t="s">
        <v>209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9">
        <f t="shared" si="0"/>
        <v>0</v>
      </c>
      <c r="I19" s="10" t="str">
        <f t="shared" si="1"/>
        <v>DETERMINIST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9">
        <f t="shared" si="2"/>
        <v>0</v>
      </c>
      <c r="Q19" s="10" t="str">
        <f t="shared" si="3"/>
        <v>DETERMINIST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234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 t="s">
        <v>234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  <c r="AL19" s="1">
        <f t="shared" si="6"/>
        <v>0</v>
      </c>
      <c r="AM19" s="1">
        <f t="shared" si="8"/>
        <v>0</v>
      </c>
      <c r="AN19" s="1">
        <f t="shared" si="7"/>
        <v>0</v>
      </c>
      <c r="AO19" s="23" t="str">
        <f t="shared" si="5"/>
        <v>DETERMINIST</v>
      </c>
    </row>
    <row r="20" spans="1:41" ht="30" customHeight="1" x14ac:dyDescent="0.3">
      <c r="A20" s="11" t="s">
        <v>35</v>
      </c>
      <c r="B20" s="8">
        <v>2</v>
      </c>
      <c r="C20" s="8">
        <v>2</v>
      </c>
      <c r="D20" s="8">
        <v>0</v>
      </c>
      <c r="E20" s="8">
        <v>2</v>
      </c>
      <c r="F20" s="8">
        <v>2</v>
      </c>
      <c r="G20" s="8">
        <v>2</v>
      </c>
      <c r="H20" s="9">
        <f t="shared" si="0"/>
        <v>18</v>
      </c>
      <c r="I20" s="10" t="str">
        <f t="shared" si="1"/>
        <v>AI-NATIVE</v>
      </c>
      <c r="J20" s="8">
        <v>2</v>
      </c>
      <c r="K20" s="8">
        <v>2</v>
      </c>
      <c r="L20" s="8">
        <v>1</v>
      </c>
      <c r="M20" s="8">
        <v>2</v>
      </c>
      <c r="N20" s="8">
        <v>2</v>
      </c>
      <c r="O20" s="8">
        <v>2</v>
      </c>
      <c r="P20" s="9">
        <f t="shared" si="2"/>
        <v>19</v>
      </c>
      <c r="Q20" s="10" t="str">
        <f t="shared" si="3"/>
        <v>AI-NATIVE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234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2</v>
      </c>
      <c r="AF20" s="1">
        <v>4</v>
      </c>
      <c r="AG20" s="1" t="s">
        <v>233</v>
      </c>
      <c r="AH20" s="1">
        <f t="shared" si="6"/>
        <v>1</v>
      </c>
      <c r="AI20" s="1">
        <f t="shared" si="6"/>
        <v>1</v>
      </c>
      <c r="AJ20" s="1">
        <f t="shared" si="6"/>
        <v>0.25</v>
      </c>
      <c r="AK20" s="1">
        <f t="shared" si="6"/>
        <v>1</v>
      </c>
      <c r="AL20" s="1">
        <f t="shared" si="6"/>
        <v>1</v>
      </c>
      <c r="AM20" s="1">
        <f t="shared" si="8"/>
        <v>1.5</v>
      </c>
      <c r="AN20" s="1">
        <f t="shared" si="7"/>
        <v>10.25</v>
      </c>
      <c r="AO20" s="23" t="str">
        <f t="shared" si="5"/>
        <v>AI-ENABLED</v>
      </c>
    </row>
    <row r="21" spans="1:41" ht="30" customHeight="1" x14ac:dyDescent="0.3">
      <c r="A21" s="11" t="s">
        <v>32</v>
      </c>
      <c r="B21" s="8">
        <v>2</v>
      </c>
      <c r="C21" s="8">
        <v>2</v>
      </c>
      <c r="D21" s="8">
        <v>0</v>
      </c>
      <c r="E21" s="8">
        <v>2</v>
      </c>
      <c r="F21" s="8">
        <v>2</v>
      </c>
      <c r="G21" s="8">
        <v>2</v>
      </c>
      <c r="H21" s="9">
        <f t="shared" si="0"/>
        <v>18</v>
      </c>
      <c r="I21" s="10" t="str">
        <f t="shared" si="1"/>
        <v>AI-NATIVE</v>
      </c>
      <c r="J21" s="8">
        <v>2</v>
      </c>
      <c r="K21" s="8">
        <v>2</v>
      </c>
      <c r="L21" s="8">
        <v>1</v>
      </c>
      <c r="M21" s="8">
        <v>2</v>
      </c>
      <c r="N21" s="8">
        <v>2</v>
      </c>
      <c r="O21" s="8">
        <v>2</v>
      </c>
      <c r="P21" s="9">
        <f t="shared" si="2"/>
        <v>19</v>
      </c>
      <c r="Q21" s="10" t="str">
        <f t="shared" si="3"/>
        <v>AI-NATIVE</v>
      </c>
      <c r="R21">
        <v>0</v>
      </c>
      <c r="S21">
        <v>0</v>
      </c>
      <c r="T21">
        <v>1</v>
      </c>
      <c r="U21">
        <v>0</v>
      </c>
      <c r="V21">
        <v>1</v>
      </c>
      <c r="W21">
        <v>2</v>
      </c>
      <c r="X21">
        <v>6</v>
      </c>
      <c r="Y21" t="s">
        <v>233</v>
      </c>
      <c r="Z21" s="1">
        <v>2</v>
      </c>
      <c r="AA21" s="1">
        <v>2</v>
      </c>
      <c r="AB21" s="1">
        <v>1</v>
      </c>
      <c r="AC21" s="1">
        <v>2</v>
      </c>
      <c r="AD21" s="1">
        <v>2</v>
      </c>
      <c r="AE21" s="1">
        <v>2</v>
      </c>
      <c r="AF21" s="1">
        <v>19</v>
      </c>
      <c r="AG21" s="1" t="s">
        <v>236</v>
      </c>
      <c r="AH21" s="1">
        <f t="shared" si="6"/>
        <v>1.5</v>
      </c>
      <c r="AI21" s="1">
        <f t="shared" si="6"/>
        <v>1.5</v>
      </c>
      <c r="AJ21" s="1">
        <f t="shared" si="6"/>
        <v>0.75</v>
      </c>
      <c r="AK21" s="1">
        <f t="shared" si="6"/>
        <v>1.5</v>
      </c>
      <c r="AL21" s="1">
        <f t="shared" si="6"/>
        <v>1.75</v>
      </c>
      <c r="AM21" s="1">
        <f t="shared" si="8"/>
        <v>2</v>
      </c>
      <c r="AN21" s="1">
        <f t="shared" si="7"/>
        <v>15.5</v>
      </c>
      <c r="AO21" s="23" t="str">
        <f t="shared" si="5"/>
        <v>AI-CORE</v>
      </c>
    </row>
    <row r="22" spans="1:41" ht="30" customHeight="1" x14ac:dyDescent="0.3">
      <c r="A22" s="20" t="s">
        <v>109</v>
      </c>
      <c r="B22" s="8">
        <v>2</v>
      </c>
      <c r="C22" s="8">
        <v>1</v>
      </c>
      <c r="D22" s="8">
        <v>0</v>
      </c>
      <c r="E22" s="8">
        <v>2</v>
      </c>
      <c r="F22" s="8">
        <v>1</v>
      </c>
      <c r="G22" s="8">
        <v>1</v>
      </c>
      <c r="H22" s="9">
        <f t="shared" si="0"/>
        <v>13</v>
      </c>
      <c r="I22" s="10" t="str">
        <f t="shared" si="1"/>
        <v>AI-CORE</v>
      </c>
      <c r="J22" s="8">
        <v>2</v>
      </c>
      <c r="K22" s="8">
        <v>2</v>
      </c>
      <c r="L22" s="8">
        <v>0</v>
      </c>
      <c r="M22" s="8">
        <v>2</v>
      </c>
      <c r="N22" s="8">
        <v>2</v>
      </c>
      <c r="O22" s="8">
        <v>2</v>
      </c>
      <c r="P22" s="9">
        <f t="shared" si="2"/>
        <v>18</v>
      </c>
      <c r="Q22" s="10" t="str">
        <f t="shared" si="3"/>
        <v>AI-NATIVE</v>
      </c>
      <c r="R22">
        <v>2</v>
      </c>
      <c r="S22">
        <v>2</v>
      </c>
      <c r="T22">
        <v>2</v>
      </c>
      <c r="U22">
        <v>2</v>
      </c>
      <c r="V22">
        <v>2</v>
      </c>
      <c r="W22">
        <v>0</v>
      </c>
      <c r="X22">
        <v>16</v>
      </c>
      <c r="Y22" t="s">
        <v>235</v>
      </c>
      <c r="Z22" s="1">
        <v>2</v>
      </c>
      <c r="AA22" s="1">
        <v>2</v>
      </c>
      <c r="AB22" s="1">
        <v>0</v>
      </c>
      <c r="AC22" s="1">
        <v>2</v>
      </c>
      <c r="AD22" s="1">
        <v>2</v>
      </c>
      <c r="AE22" s="1">
        <v>2</v>
      </c>
      <c r="AF22" s="1">
        <v>18</v>
      </c>
      <c r="AG22" s="1" t="s">
        <v>236</v>
      </c>
      <c r="AH22" s="1">
        <f t="shared" si="6"/>
        <v>2</v>
      </c>
      <c r="AI22" s="1">
        <f t="shared" si="6"/>
        <v>1.75</v>
      </c>
      <c r="AJ22" s="1">
        <f t="shared" si="6"/>
        <v>0.5</v>
      </c>
      <c r="AK22" s="1">
        <f t="shared" si="6"/>
        <v>2</v>
      </c>
      <c r="AL22" s="1">
        <f t="shared" si="6"/>
        <v>1.75</v>
      </c>
      <c r="AM22" s="1">
        <f t="shared" si="8"/>
        <v>1.25</v>
      </c>
      <c r="AN22" s="1">
        <f t="shared" si="7"/>
        <v>16.25</v>
      </c>
      <c r="AO22" s="23" t="str">
        <f t="shared" si="5"/>
        <v>AI-CORE</v>
      </c>
    </row>
    <row r="23" spans="1:41" ht="30" customHeight="1" x14ac:dyDescent="0.3">
      <c r="A23" s="11" t="s">
        <v>37</v>
      </c>
      <c r="B23" s="8">
        <v>2</v>
      </c>
      <c r="C23" s="8">
        <v>2</v>
      </c>
      <c r="D23" s="8">
        <v>0</v>
      </c>
      <c r="E23" s="8">
        <v>2</v>
      </c>
      <c r="F23" s="8">
        <v>2</v>
      </c>
      <c r="G23" s="8">
        <v>2</v>
      </c>
      <c r="H23" s="9">
        <f t="shared" si="0"/>
        <v>18</v>
      </c>
      <c r="I23" s="10" t="str">
        <f t="shared" si="1"/>
        <v>AI-NATIVE</v>
      </c>
      <c r="J23" s="8">
        <v>2</v>
      </c>
      <c r="K23" s="8">
        <v>2</v>
      </c>
      <c r="L23" s="8">
        <v>1</v>
      </c>
      <c r="M23" s="8">
        <v>2</v>
      </c>
      <c r="N23" s="8">
        <v>2</v>
      </c>
      <c r="O23" s="8">
        <v>2</v>
      </c>
      <c r="P23" s="9">
        <f t="shared" si="2"/>
        <v>19</v>
      </c>
      <c r="Q23" s="10" t="str">
        <f t="shared" si="3"/>
        <v>AI-NATIVE</v>
      </c>
      <c r="R23">
        <v>2</v>
      </c>
      <c r="S23">
        <v>2</v>
      </c>
      <c r="T23">
        <v>2</v>
      </c>
      <c r="U23">
        <v>1</v>
      </c>
      <c r="V23">
        <v>2</v>
      </c>
      <c r="W23">
        <v>2</v>
      </c>
      <c r="X23" s="9">
        <f t="shared" ref="X23" si="9">R23*2+S23*2+T23+U23*2+V23+W23*2</f>
        <v>18</v>
      </c>
      <c r="Y23" s="10" t="str">
        <f t="shared" ref="Y23" si="10">IF(X23="","",IF(X23&lt;=2,"DETERMINIST",IF(X23&lt;=6,"AI-ADJACENT",IF(X23&lt;=11,"AI-ENABLED",IF(X23&lt;=17,"AI-CORE","AI-NATIVE")))))</f>
        <v>AI-NATIVE</v>
      </c>
      <c r="Z23" s="1">
        <v>2</v>
      </c>
      <c r="AA23" s="1">
        <v>2</v>
      </c>
      <c r="AB23" s="1">
        <v>1</v>
      </c>
      <c r="AC23" s="1">
        <v>2</v>
      </c>
      <c r="AD23" s="1">
        <v>2</v>
      </c>
      <c r="AE23" s="1">
        <v>2</v>
      </c>
      <c r="AF23" s="1">
        <v>19</v>
      </c>
      <c r="AG23" s="1" t="s">
        <v>236</v>
      </c>
      <c r="AH23" s="1">
        <f t="shared" si="6"/>
        <v>2</v>
      </c>
      <c r="AI23" s="1">
        <f t="shared" si="6"/>
        <v>2</v>
      </c>
      <c r="AJ23" s="1">
        <f t="shared" si="6"/>
        <v>1</v>
      </c>
      <c r="AK23" s="1">
        <f t="shared" si="6"/>
        <v>1.75</v>
      </c>
      <c r="AL23" s="1">
        <f t="shared" si="6"/>
        <v>2</v>
      </c>
      <c r="AM23" s="1">
        <f t="shared" si="8"/>
        <v>2</v>
      </c>
      <c r="AN23" s="1">
        <f t="shared" si="7"/>
        <v>18.5</v>
      </c>
      <c r="AO23" s="23" t="str">
        <f t="shared" si="5"/>
        <v>AI-NATIVE</v>
      </c>
    </row>
    <row r="24" spans="1:41" ht="30" customHeight="1" x14ac:dyDescent="0.3">
      <c r="A24" s="19" t="s">
        <v>192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9">
        <f t="shared" si="0"/>
        <v>0</v>
      </c>
      <c r="I24" s="10" t="str">
        <f t="shared" si="1"/>
        <v>DETERMINIST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9">
        <f t="shared" si="2"/>
        <v>0</v>
      </c>
      <c r="Q24" s="10" t="str">
        <f t="shared" si="3"/>
        <v>DETERMINIST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234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 t="s">
        <v>234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  <c r="AL24" s="1">
        <f t="shared" si="6"/>
        <v>0</v>
      </c>
      <c r="AM24" s="1">
        <f t="shared" si="8"/>
        <v>0</v>
      </c>
      <c r="AN24" s="1">
        <f t="shared" si="7"/>
        <v>0</v>
      </c>
      <c r="AO24" s="23" t="str">
        <f t="shared" si="5"/>
        <v>DETERMINIST</v>
      </c>
    </row>
    <row r="25" spans="1:41" ht="30" customHeight="1" x14ac:dyDescent="0.3">
      <c r="A25" s="14" t="s">
        <v>65</v>
      </c>
      <c r="B25" s="8">
        <v>2</v>
      </c>
      <c r="C25" s="8">
        <v>2</v>
      </c>
      <c r="D25" s="8">
        <v>0</v>
      </c>
      <c r="E25" s="8">
        <v>2</v>
      </c>
      <c r="F25" s="8">
        <v>2</v>
      </c>
      <c r="G25" s="8">
        <v>0</v>
      </c>
      <c r="H25" s="9">
        <f t="shared" si="0"/>
        <v>14</v>
      </c>
      <c r="I25" s="10" t="str">
        <f t="shared" si="1"/>
        <v>AI-CORE</v>
      </c>
      <c r="J25" s="8">
        <v>2</v>
      </c>
      <c r="K25" s="8">
        <v>2</v>
      </c>
      <c r="L25" s="8">
        <v>0</v>
      </c>
      <c r="M25" s="8">
        <v>2</v>
      </c>
      <c r="N25" s="8">
        <v>2</v>
      </c>
      <c r="O25" s="8">
        <v>2</v>
      </c>
      <c r="P25" s="9">
        <f t="shared" si="2"/>
        <v>18</v>
      </c>
      <c r="Q25" s="10" t="str">
        <f t="shared" si="3"/>
        <v>AI-NATIVE</v>
      </c>
      <c r="R25">
        <v>2</v>
      </c>
      <c r="S25">
        <v>2</v>
      </c>
      <c r="T25">
        <v>0</v>
      </c>
      <c r="U25">
        <v>2</v>
      </c>
      <c r="V25">
        <v>2</v>
      </c>
      <c r="W25">
        <v>0</v>
      </c>
      <c r="X25">
        <v>14</v>
      </c>
      <c r="Y25" t="s">
        <v>235</v>
      </c>
      <c r="Z25" s="1">
        <v>2</v>
      </c>
      <c r="AA25" s="1">
        <v>2</v>
      </c>
      <c r="AB25" s="1">
        <v>0</v>
      </c>
      <c r="AC25" s="1">
        <v>2</v>
      </c>
      <c r="AD25" s="1">
        <v>2</v>
      </c>
      <c r="AE25" s="1">
        <v>0</v>
      </c>
      <c r="AF25" s="1">
        <v>14</v>
      </c>
      <c r="AG25" s="1" t="s">
        <v>235</v>
      </c>
      <c r="AH25" s="1">
        <f t="shared" si="6"/>
        <v>2</v>
      </c>
      <c r="AI25" s="1">
        <f t="shared" si="6"/>
        <v>2</v>
      </c>
      <c r="AJ25" s="1">
        <f t="shared" si="6"/>
        <v>0</v>
      </c>
      <c r="AK25" s="1">
        <f t="shared" si="6"/>
        <v>2</v>
      </c>
      <c r="AL25" s="1">
        <f t="shared" si="6"/>
        <v>2</v>
      </c>
      <c r="AM25" s="1">
        <f t="shared" si="8"/>
        <v>0.5</v>
      </c>
      <c r="AN25" s="1">
        <f t="shared" si="7"/>
        <v>15</v>
      </c>
      <c r="AO25" s="23" t="str">
        <f t="shared" si="5"/>
        <v>AI-CORE</v>
      </c>
    </row>
    <row r="26" spans="1:41" ht="30" customHeight="1" x14ac:dyDescent="0.3">
      <c r="A26" s="18" t="s">
        <v>93</v>
      </c>
      <c r="B26" s="8">
        <v>2</v>
      </c>
      <c r="C26" s="8">
        <v>2</v>
      </c>
      <c r="D26" s="8">
        <v>1</v>
      </c>
      <c r="E26" s="8">
        <v>2</v>
      </c>
      <c r="F26" s="8">
        <v>2</v>
      </c>
      <c r="G26" s="8">
        <v>1</v>
      </c>
      <c r="H26" s="9">
        <f t="shared" si="0"/>
        <v>17</v>
      </c>
      <c r="I26" s="10" t="str">
        <f t="shared" si="1"/>
        <v>AI-CORE</v>
      </c>
      <c r="J26" s="8">
        <v>2</v>
      </c>
      <c r="K26" s="8">
        <v>2</v>
      </c>
      <c r="L26" s="8">
        <v>0</v>
      </c>
      <c r="M26" s="8">
        <v>2</v>
      </c>
      <c r="N26" s="8">
        <v>2</v>
      </c>
      <c r="O26" s="8">
        <v>2</v>
      </c>
      <c r="P26" s="9">
        <f t="shared" si="2"/>
        <v>18</v>
      </c>
      <c r="Q26" s="10" t="str">
        <f t="shared" si="3"/>
        <v>AI-NATIVE</v>
      </c>
      <c r="R26">
        <v>2</v>
      </c>
      <c r="S26">
        <v>2</v>
      </c>
      <c r="T26">
        <v>0</v>
      </c>
      <c r="U26">
        <v>2</v>
      </c>
      <c r="V26">
        <v>1</v>
      </c>
      <c r="W26">
        <v>0</v>
      </c>
      <c r="X26">
        <v>13</v>
      </c>
      <c r="Y26" t="s">
        <v>235</v>
      </c>
      <c r="Z26" s="1">
        <v>2</v>
      </c>
      <c r="AA26" s="1">
        <v>2</v>
      </c>
      <c r="AB26" s="1">
        <v>0</v>
      </c>
      <c r="AC26" s="1">
        <v>2</v>
      </c>
      <c r="AD26" s="1">
        <v>2</v>
      </c>
      <c r="AE26" s="1">
        <v>2</v>
      </c>
      <c r="AF26" s="1">
        <v>18</v>
      </c>
      <c r="AG26" s="1" t="s">
        <v>236</v>
      </c>
      <c r="AH26" s="1">
        <f t="shared" si="6"/>
        <v>2</v>
      </c>
      <c r="AI26" s="1">
        <f t="shared" si="6"/>
        <v>2</v>
      </c>
      <c r="AJ26" s="1">
        <f t="shared" si="6"/>
        <v>0.25</v>
      </c>
      <c r="AK26" s="1">
        <f t="shared" si="6"/>
        <v>2</v>
      </c>
      <c r="AL26" s="1">
        <f t="shared" si="6"/>
        <v>1.75</v>
      </c>
      <c r="AM26" s="1">
        <f t="shared" si="8"/>
        <v>1.25</v>
      </c>
      <c r="AN26" s="1">
        <f t="shared" si="7"/>
        <v>16.5</v>
      </c>
      <c r="AO26" s="23" t="str">
        <f t="shared" si="5"/>
        <v>AI-CORE</v>
      </c>
    </row>
    <row r="27" spans="1:41" ht="30" customHeight="1" x14ac:dyDescent="0.3">
      <c r="A27" s="7" t="s">
        <v>28</v>
      </c>
      <c r="B27" s="8">
        <v>0</v>
      </c>
      <c r="C27" s="8">
        <v>2</v>
      </c>
      <c r="D27" s="8">
        <v>0</v>
      </c>
      <c r="E27" s="8">
        <v>2</v>
      </c>
      <c r="F27" s="8">
        <v>2</v>
      </c>
      <c r="G27" s="8">
        <v>2</v>
      </c>
      <c r="H27" s="9">
        <f t="shared" si="0"/>
        <v>14</v>
      </c>
      <c r="I27" s="10" t="str">
        <f t="shared" si="1"/>
        <v>AI-CORE</v>
      </c>
      <c r="J27" s="8">
        <v>0</v>
      </c>
      <c r="K27" s="8">
        <v>1</v>
      </c>
      <c r="L27" s="8">
        <v>0</v>
      </c>
      <c r="M27" s="8">
        <v>1</v>
      </c>
      <c r="N27" s="8">
        <v>2</v>
      </c>
      <c r="O27" s="8">
        <v>2</v>
      </c>
      <c r="P27" s="9">
        <f t="shared" si="2"/>
        <v>10</v>
      </c>
      <c r="Q27" s="10" t="str">
        <f t="shared" si="3"/>
        <v>AI-ENABLED</v>
      </c>
      <c r="R27">
        <v>2</v>
      </c>
      <c r="S27">
        <v>2</v>
      </c>
      <c r="T27">
        <v>1</v>
      </c>
      <c r="U27">
        <v>2</v>
      </c>
      <c r="V27">
        <v>1</v>
      </c>
      <c r="W27">
        <v>1</v>
      </c>
      <c r="X27">
        <v>16</v>
      </c>
      <c r="Y27" t="s">
        <v>235</v>
      </c>
      <c r="Z27" s="1">
        <v>2</v>
      </c>
      <c r="AA27" s="1">
        <v>2</v>
      </c>
      <c r="AB27" s="1">
        <v>0</v>
      </c>
      <c r="AC27" s="1">
        <v>2</v>
      </c>
      <c r="AD27" s="1">
        <v>2</v>
      </c>
      <c r="AE27" s="1">
        <v>2</v>
      </c>
      <c r="AF27" s="1">
        <v>18</v>
      </c>
      <c r="AG27" s="1" t="s">
        <v>236</v>
      </c>
      <c r="AH27" s="1">
        <f t="shared" si="6"/>
        <v>1</v>
      </c>
      <c r="AI27" s="1">
        <f t="shared" si="6"/>
        <v>1.75</v>
      </c>
      <c r="AJ27" s="1">
        <f t="shared" si="6"/>
        <v>0.25</v>
      </c>
      <c r="AK27" s="1">
        <f t="shared" si="6"/>
        <v>1.75</v>
      </c>
      <c r="AL27" s="1">
        <f t="shared" si="6"/>
        <v>1.75</v>
      </c>
      <c r="AM27" s="1">
        <f t="shared" si="8"/>
        <v>1.75</v>
      </c>
      <c r="AN27" s="1">
        <f t="shared" si="7"/>
        <v>14.5</v>
      </c>
      <c r="AO27" s="23" t="str">
        <f t="shared" si="5"/>
        <v>AI-CORE</v>
      </c>
    </row>
    <row r="28" spans="1:41" ht="30" customHeight="1" x14ac:dyDescent="0.3">
      <c r="A28" s="19" t="s">
        <v>193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9">
        <f t="shared" si="0"/>
        <v>0</v>
      </c>
      <c r="I28" s="10" t="str">
        <f t="shared" si="1"/>
        <v>DETERMINIST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9">
        <f t="shared" si="2"/>
        <v>0</v>
      </c>
      <c r="Q28" s="10" t="str">
        <f t="shared" si="3"/>
        <v>DETERMINIST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234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 t="s">
        <v>234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  <c r="AL28" s="1">
        <f t="shared" si="6"/>
        <v>0</v>
      </c>
      <c r="AM28" s="1">
        <f t="shared" si="8"/>
        <v>0</v>
      </c>
      <c r="AN28" s="1">
        <f t="shared" si="7"/>
        <v>0</v>
      </c>
      <c r="AO28" s="23" t="str">
        <f t="shared" si="5"/>
        <v>DETERMINIST</v>
      </c>
    </row>
    <row r="29" spans="1:41" ht="30" customHeight="1" x14ac:dyDescent="0.3">
      <c r="A29" s="11" t="s">
        <v>41</v>
      </c>
      <c r="B29" s="8">
        <v>2</v>
      </c>
      <c r="C29" s="8">
        <v>2</v>
      </c>
      <c r="D29" s="8">
        <v>0</v>
      </c>
      <c r="E29" s="8">
        <v>2</v>
      </c>
      <c r="F29" s="8">
        <v>2</v>
      </c>
      <c r="G29" s="8">
        <v>1</v>
      </c>
      <c r="H29" s="9">
        <f t="shared" si="0"/>
        <v>16</v>
      </c>
      <c r="I29" s="10" t="str">
        <f t="shared" si="1"/>
        <v>AI-CORE</v>
      </c>
      <c r="J29" s="8">
        <v>2</v>
      </c>
      <c r="K29" s="8">
        <v>2</v>
      </c>
      <c r="L29" s="8">
        <v>1</v>
      </c>
      <c r="M29" s="8">
        <v>2</v>
      </c>
      <c r="N29" s="8">
        <v>2</v>
      </c>
      <c r="O29" s="8">
        <v>2</v>
      </c>
      <c r="P29" s="9">
        <f t="shared" si="2"/>
        <v>19</v>
      </c>
      <c r="Q29" s="10" t="str">
        <f t="shared" si="3"/>
        <v>AI-NATIVE</v>
      </c>
      <c r="R29">
        <v>2</v>
      </c>
      <c r="S29">
        <v>2</v>
      </c>
      <c r="T29">
        <v>1</v>
      </c>
      <c r="U29">
        <v>2</v>
      </c>
      <c r="V29">
        <v>1</v>
      </c>
      <c r="W29">
        <v>1</v>
      </c>
      <c r="X29">
        <v>16</v>
      </c>
      <c r="Y29" t="s">
        <v>235</v>
      </c>
      <c r="Z29" s="1">
        <v>2</v>
      </c>
      <c r="AA29" s="1">
        <v>2</v>
      </c>
      <c r="AB29" s="1">
        <v>0</v>
      </c>
      <c r="AC29" s="1">
        <v>2</v>
      </c>
      <c r="AD29" s="1">
        <v>2</v>
      </c>
      <c r="AE29" s="1">
        <v>1</v>
      </c>
      <c r="AF29" s="1">
        <v>16</v>
      </c>
      <c r="AG29" s="1" t="s">
        <v>235</v>
      </c>
      <c r="AH29" s="1">
        <f t="shared" si="6"/>
        <v>2</v>
      </c>
      <c r="AI29" s="1">
        <f t="shared" si="6"/>
        <v>2</v>
      </c>
      <c r="AJ29" s="1">
        <f t="shared" si="6"/>
        <v>0.5</v>
      </c>
      <c r="AK29" s="1">
        <f t="shared" si="6"/>
        <v>2</v>
      </c>
      <c r="AL29" s="1">
        <f t="shared" si="6"/>
        <v>1.75</v>
      </c>
      <c r="AM29" s="1">
        <f t="shared" si="8"/>
        <v>1.25</v>
      </c>
      <c r="AN29" s="1">
        <f t="shared" si="7"/>
        <v>16.75</v>
      </c>
      <c r="AO29" s="23" t="str">
        <f t="shared" si="5"/>
        <v>AI-CORE</v>
      </c>
    </row>
    <row r="30" spans="1:41" ht="30" customHeight="1" x14ac:dyDescent="0.3">
      <c r="A30" s="16" t="s">
        <v>169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9">
        <f t="shared" si="0"/>
        <v>0</v>
      </c>
      <c r="I30" s="10" t="str">
        <f t="shared" si="1"/>
        <v>DETERMINIST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9">
        <f t="shared" si="2"/>
        <v>0</v>
      </c>
      <c r="Q30" s="10" t="str">
        <f t="shared" si="3"/>
        <v>DETERMINIST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234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 t="s">
        <v>234</v>
      </c>
      <c r="AH30" s="1">
        <f t="shared" si="6"/>
        <v>0</v>
      </c>
      <c r="AI30" s="1">
        <f t="shared" si="6"/>
        <v>0</v>
      </c>
      <c r="AJ30" s="1">
        <f t="shared" si="6"/>
        <v>0</v>
      </c>
      <c r="AK30" s="1">
        <f t="shared" si="6"/>
        <v>0</v>
      </c>
      <c r="AL30" s="1">
        <f t="shared" si="6"/>
        <v>0</v>
      </c>
      <c r="AM30" s="1">
        <f t="shared" si="8"/>
        <v>0</v>
      </c>
      <c r="AN30" s="1">
        <f t="shared" si="7"/>
        <v>0</v>
      </c>
      <c r="AO30" s="23" t="str">
        <f t="shared" si="5"/>
        <v>DETERMINIST</v>
      </c>
    </row>
    <row r="31" spans="1:41" ht="30" customHeight="1" x14ac:dyDescent="0.3">
      <c r="A31" s="21" t="s">
        <v>206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9">
        <f t="shared" si="0"/>
        <v>0</v>
      </c>
      <c r="I31" s="10" t="str">
        <f t="shared" si="1"/>
        <v>DETERMINIST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9">
        <f t="shared" si="2"/>
        <v>0</v>
      </c>
      <c r="Q31" s="10" t="str">
        <f t="shared" si="3"/>
        <v>DETERMINIST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234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 t="s">
        <v>234</v>
      </c>
      <c r="AH31" s="1">
        <f t="shared" si="6"/>
        <v>0</v>
      </c>
      <c r="AI31" s="1">
        <f t="shared" si="6"/>
        <v>0</v>
      </c>
      <c r="AJ31" s="1">
        <f t="shared" si="6"/>
        <v>0</v>
      </c>
      <c r="AK31" s="1">
        <f t="shared" si="6"/>
        <v>0</v>
      </c>
      <c r="AL31" s="1">
        <f t="shared" si="6"/>
        <v>0</v>
      </c>
      <c r="AM31" s="1">
        <f t="shared" si="8"/>
        <v>0</v>
      </c>
      <c r="AN31" s="1">
        <f t="shared" si="7"/>
        <v>0</v>
      </c>
      <c r="AO31" s="23" t="str">
        <f t="shared" si="5"/>
        <v>DETERMINIST</v>
      </c>
    </row>
    <row r="32" spans="1:41" ht="30" customHeight="1" x14ac:dyDescent="0.3">
      <c r="A32" s="7" t="s">
        <v>118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9">
        <f t="shared" si="0"/>
        <v>0</v>
      </c>
      <c r="I32" s="10" t="str">
        <f t="shared" si="1"/>
        <v>DETERMINIST</v>
      </c>
      <c r="J32" s="8">
        <v>0</v>
      </c>
      <c r="K32" s="8">
        <v>0</v>
      </c>
      <c r="L32" s="8">
        <v>0</v>
      </c>
      <c r="M32" s="8">
        <v>0</v>
      </c>
      <c r="N32" s="8">
        <v>1</v>
      </c>
      <c r="O32" s="8">
        <v>0</v>
      </c>
      <c r="P32" s="9">
        <f t="shared" si="2"/>
        <v>1</v>
      </c>
      <c r="Q32" s="10" t="str">
        <f t="shared" si="3"/>
        <v>DETERMINIST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234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 t="s">
        <v>234</v>
      </c>
      <c r="AH32" s="1">
        <f t="shared" si="6"/>
        <v>0</v>
      </c>
      <c r="AI32" s="1">
        <f t="shared" si="6"/>
        <v>0</v>
      </c>
      <c r="AJ32" s="1">
        <f t="shared" si="6"/>
        <v>0</v>
      </c>
      <c r="AK32" s="1">
        <f t="shared" si="6"/>
        <v>0</v>
      </c>
      <c r="AL32" s="1">
        <f t="shared" si="6"/>
        <v>0.25</v>
      </c>
      <c r="AM32" s="1">
        <f t="shared" si="8"/>
        <v>0</v>
      </c>
      <c r="AN32" s="1">
        <f t="shared" si="7"/>
        <v>0.25</v>
      </c>
      <c r="AO32" s="23" t="str">
        <f t="shared" si="5"/>
        <v>DETERMINIST</v>
      </c>
    </row>
    <row r="33" spans="1:41" ht="30" customHeight="1" x14ac:dyDescent="0.3">
      <c r="A33" s="7" t="s">
        <v>23</v>
      </c>
      <c r="B33" s="8">
        <v>0</v>
      </c>
      <c r="C33" s="8">
        <v>0</v>
      </c>
      <c r="D33" s="8">
        <v>0</v>
      </c>
      <c r="E33" s="8">
        <v>1</v>
      </c>
      <c r="F33" s="8">
        <v>2</v>
      </c>
      <c r="G33" s="8">
        <v>0</v>
      </c>
      <c r="H33" s="9">
        <f t="shared" si="0"/>
        <v>4</v>
      </c>
      <c r="I33" s="10" t="str">
        <f t="shared" si="1"/>
        <v>AI-ADJACENT</v>
      </c>
      <c r="J33" s="8">
        <v>0</v>
      </c>
      <c r="K33" s="8">
        <v>1</v>
      </c>
      <c r="L33" s="8">
        <v>0</v>
      </c>
      <c r="M33" s="8">
        <v>0</v>
      </c>
      <c r="N33" s="8">
        <v>1</v>
      </c>
      <c r="O33" s="8">
        <v>1</v>
      </c>
      <c r="P33" s="9">
        <f t="shared" si="2"/>
        <v>5</v>
      </c>
      <c r="Q33" s="10" t="str">
        <f t="shared" si="3"/>
        <v>AI-ADJACENT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2</v>
      </c>
      <c r="Y33" t="s">
        <v>234</v>
      </c>
      <c r="Z33" s="1">
        <v>2</v>
      </c>
      <c r="AA33" s="1">
        <v>2</v>
      </c>
      <c r="AB33" s="1">
        <v>0</v>
      </c>
      <c r="AC33" s="1">
        <v>2</v>
      </c>
      <c r="AD33" s="1">
        <v>2</v>
      </c>
      <c r="AE33" s="1">
        <v>2</v>
      </c>
      <c r="AF33" s="1">
        <v>18</v>
      </c>
      <c r="AG33" s="1" t="s">
        <v>236</v>
      </c>
      <c r="AH33" s="1">
        <f t="shared" si="6"/>
        <v>0.5</v>
      </c>
      <c r="AI33" s="1">
        <f t="shared" si="6"/>
        <v>0.75</v>
      </c>
      <c r="AJ33" s="1">
        <f t="shared" si="6"/>
        <v>0.25</v>
      </c>
      <c r="AK33" s="1">
        <f t="shared" si="6"/>
        <v>0.75</v>
      </c>
      <c r="AL33" s="1">
        <f t="shared" si="6"/>
        <v>1.5</v>
      </c>
      <c r="AM33" s="1">
        <f t="shared" si="8"/>
        <v>0.75</v>
      </c>
      <c r="AN33" s="1">
        <f t="shared" si="7"/>
        <v>7.25</v>
      </c>
      <c r="AO33" s="23" t="str">
        <f t="shared" si="5"/>
        <v>AI-ENABLED</v>
      </c>
    </row>
    <row r="34" spans="1:41" ht="30" customHeight="1" x14ac:dyDescent="0.3">
      <c r="A34" s="20" t="s">
        <v>199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9">
        <f t="shared" ref="H34:H65" si="11">B34*2+C34*2+D34+E34*2+F34+G34*2</f>
        <v>0</v>
      </c>
      <c r="I34" s="10" t="str">
        <f t="shared" ref="I34:I65" si="12">IF(H34="","",IF(H34&lt;=2,"DETERMINIST",IF(H34&lt;=6,"AI-ADJACENT",IF(H34&lt;=11,"AI-ENABLED",IF(H34&lt;=17,"AI-CORE","AI-NATIVE")))))</f>
        <v>DETERMINIST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9">
        <f t="shared" ref="P34:P65" si="13">J34*2+K34*2+L34+M34*2+N34+O34*2</f>
        <v>0</v>
      </c>
      <c r="Q34" s="10" t="str">
        <f t="shared" ref="Q34:Q65" si="14">IF(P34="","",IF(P34&lt;=2,"DETERMINIST",IF(P34&lt;=6,"AI-ADJACENT",IF(P34&lt;=11,"AI-ENABLED",IF(P34&lt;=17,"AI-CORE","AI-NATIVE")))))</f>
        <v>DETERMINIST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234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 t="s">
        <v>234</v>
      </c>
      <c r="AH34" s="1">
        <f t="shared" si="6"/>
        <v>0</v>
      </c>
      <c r="AI34" s="1">
        <f t="shared" si="6"/>
        <v>0</v>
      </c>
      <c r="AJ34" s="1">
        <f t="shared" si="6"/>
        <v>0</v>
      </c>
      <c r="AK34" s="1">
        <f t="shared" si="6"/>
        <v>0</v>
      </c>
      <c r="AL34" s="1">
        <f t="shared" si="6"/>
        <v>0</v>
      </c>
      <c r="AM34" s="1">
        <f t="shared" si="8"/>
        <v>0</v>
      </c>
      <c r="AN34" s="1">
        <f t="shared" si="7"/>
        <v>0</v>
      </c>
      <c r="AO34" s="23" t="str">
        <f t="shared" si="5"/>
        <v>DETERMINIST</v>
      </c>
    </row>
    <row r="35" spans="1:41" ht="30" customHeight="1" x14ac:dyDescent="0.3">
      <c r="A35" s="7" t="s">
        <v>29</v>
      </c>
      <c r="B35" s="8">
        <v>0</v>
      </c>
      <c r="C35" s="8">
        <v>2</v>
      </c>
      <c r="D35" s="8">
        <v>0</v>
      </c>
      <c r="E35" s="8">
        <v>2</v>
      </c>
      <c r="F35" s="8">
        <v>2</v>
      </c>
      <c r="G35" s="8">
        <v>2</v>
      </c>
      <c r="H35" s="9">
        <f t="shared" si="11"/>
        <v>14</v>
      </c>
      <c r="I35" s="10" t="str">
        <f t="shared" si="12"/>
        <v>AI-CORE</v>
      </c>
      <c r="J35" s="8">
        <v>0</v>
      </c>
      <c r="K35" s="8">
        <v>1</v>
      </c>
      <c r="L35" s="8">
        <v>0</v>
      </c>
      <c r="M35" s="8">
        <v>1</v>
      </c>
      <c r="N35" s="8">
        <v>2</v>
      </c>
      <c r="O35" s="8">
        <v>2</v>
      </c>
      <c r="P35" s="9">
        <f t="shared" si="13"/>
        <v>10</v>
      </c>
      <c r="Q35" s="10" t="str">
        <f t="shared" si="14"/>
        <v>AI-ENABLED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2</v>
      </c>
      <c r="Y35" t="s">
        <v>234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  <c r="AE35" s="1">
        <v>0</v>
      </c>
      <c r="AF35" s="1">
        <v>1</v>
      </c>
      <c r="AG35" s="1" t="s">
        <v>234</v>
      </c>
      <c r="AH35" s="1">
        <f t="shared" si="6"/>
        <v>0</v>
      </c>
      <c r="AI35" s="1">
        <f t="shared" si="6"/>
        <v>1</v>
      </c>
      <c r="AJ35" s="1">
        <f t="shared" si="6"/>
        <v>0.25</v>
      </c>
      <c r="AK35" s="1">
        <f t="shared" si="6"/>
        <v>0.75</v>
      </c>
      <c r="AL35" s="1">
        <f t="shared" si="6"/>
        <v>1</v>
      </c>
      <c r="AM35" s="1">
        <f t="shared" si="8"/>
        <v>1</v>
      </c>
      <c r="AN35" s="1">
        <f t="shared" si="7"/>
        <v>6.75</v>
      </c>
      <c r="AO35" s="23" t="str">
        <f t="shared" si="5"/>
        <v>AI-ENABLED</v>
      </c>
    </row>
    <row r="36" spans="1:41" ht="30" customHeight="1" x14ac:dyDescent="0.3">
      <c r="A36" s="18" t="s">
        <v>179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9">
        <f t="shared" si="11"/>
        <v>0</v>
      </c>
      <c r="I36" s="10" t="str">
        <f t="shared" si="12"/>
        <v>DETERMINIST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9">
        <f t="shared" si="13"/>
        <v>0</v>
      </c>
      <c r="Q36" s="10" t="str">
        <f t="shared" si="14"/>
        <v>DETERMINIST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4</v>
      </c>
      <c r="Y36" t="s">
        <v>233</v>
      </c>
      <c r="Z36" s="1">
        <v>0</v>
      </c>
      <c r="AA36" s="1">
        <v>0</v>
      </c>
      <c r="AB36" s="1">
        <v>1</v>
      </c>
      <c r="AC36" s="1">
        <v>2</v>
      </c>
      <c r="AD36" s="1">
        <v>0</v>
      </c>
      <c r="AE36" s="1">
        <v>0</v>
      </c>
      <c r="AF36" s="1">
        <v>5</v>
      </c>
      <c r="AG36" s="1" t="s">
        <v>233</v>
      </c>
      <c r="AH36" s="1">
        <f t="shared" si="6"/>
        <v>0</v>
      </c>
      <c r="AI36" s="1">
        <f t="shared" si="6"/>
        <v>0.25</v>
      </c>
      <c r="AJ36" s="1">
        <f t="shared" si="6"/>
        <v>0.25</v>
      </c>
      <c r="AK36" s="1">
        <f t="shared" si="6"/>
        <v>0.75</v>
      </c>
      <c r="AL36" s="1">
        <f t="shared" si="6"/>
        <v>0</v>
      </c>
      <c r="AM36" s="1">
        <f t="shared" si="8"/>
        <v>0</v>
      </c>
      <c r="AN36" s="1">
        <f t="shared" si="7"/>
        <v>2.25</v>
      </c>
      <c r="AO36" s="23" t="str">
        <f t="shared" si="5"/>
        <v>AI-ADJACENT</v>
      </c>
    </row>
    <row r="37" spans="1:41" ht="30" customHeight="1" x14ac:dyDescent="0.3">
      <c r="A37" s="14" t="s">
        <v>153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9">
        <f t="shared" si="11"/>
        <v>0</v>
      </c>
      <c r="I37" s="10" t="str">
        <f t="shared" si="12"/>
        <v>DETERMINIST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9">
        <f t="shared" si="13"/>
        <v>0</v>
      </c>
      <c r="Q37" s="10" t="str">
        <f t="shared" si="14"/>
        <v>DETERMINIST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234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 t="s">
        <v>234</v>
      </c>
      <c r="AH37" s="1">
        <f t="shared" si="6"/>
        <v>0</v>
      </c>
      <c r="AI37" s="1">
        <f t="shared" si="6"/>
        <v>0</v>
      </c>
      <c r="AJ37" s="1">
        <f t="shared" si="6"/>
        <v>0</v>
      </c>
      <c r="AK37" s="1">
        <f t="shared" si="6"/>
        <v>0</v>
      </c>
      <c r="AL37" s="1">
        <f t="shared" si="6"/>
        <v>0</v>
      </c>
      <c r="AM37" s="1">
        <f t="shared" si="8"/>
        <v>0</v>
      </c>
      <c r="AN37" s="1">
        <f t="shared" si="7"/>
        <v>0</v>
      </c>
      <c r="AO37" s="23" t="str">
        <f t="shared" si="5"/>
        <v>DETERMINIST</v>
      </c>
    </row>
    <row r="38" spans="1:41" ht="30" customHeight="1" x14ac:dyDescent="0.3">
      <c r="A38" s="15" t="s">
        <v>75</v>
      </c>
      <c r="B38" s="8">
        <v>2</v>
      </c>
      <c r="C38" s="8">
        <v>2</v>
      </c>
      <c r="D38" s="8">
        <v>0</v>
      </c>
      <c r="E38" s="8">
        <v>2</v>
      </c>
      <c r="F38" s="8">
        <v>0</v>
      </c>
      <c r="G38" s="8">
        <v>1</v>
      </c>
      <c r="H38" s="9">
        <f t="shared" si="11"/>
        <v>14</v>
      </c>
      <c r="I38" s="10" t="str">
        <f t="shared" si="12"/>
        <v>AI-CORE</v>
      </c>
      <c r="J38" s="8">
        <v>2</v>
      </c>
      <c r="K38" s="8">
        <v>2</v>
      </c>
      <c r="L38" s="8">
        <v>0</v>
      </c>
      <c r="M38" s="8">
        <v>2</v>
      </c>
      <c r="N38" s="8">
        <v>1</v>
      </c>
      <c r="O38" s="8">
        <v>1</v>
      </c>
      <c r="P38" s="9">
        <f t="shared" si="13"/>
        <v>15</v>
      </c>
      <c r="Q38" s="10" t="str">
        <f t="shared" si="14"/>
        <v>AI-CORE</v>
      </c>
      <c r="R38">
        <v>2</v>
      </c>
      <c r="S38">
        <v>2</v>
      </c>
      <c r="T38">
        <v>0</v>
      </c>
      <c r="U38">
        <v>2</v>
      </c>
      <c r="V38">
        <v>0</v>
      </c>
      <c r="W38">
        <v>0</v>
      </c>
      <c r="X38">
        <v>12</v>
      </c>
      <c r="Y38" t="s">
        <v>235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 t="s">
        <v>234</v>
      </c>
      <c r="AH38" s="1">
        <f t="shared" si="6"/>
        <v>1.5</v>
      </c>
      <c r="AI38" s="1">
        <f t="shared" si="6"/>
        <v>1.5</v>
      </c>
      <c r="AJ38" s="1">
        <f t="shared" si="6"/>
        <v>0</v>
      </c>
      <c r="AK38" s="1">
        <f t="shared" si="6"/>
        <v>1.5</v>
      </c>
      <c r="AL38" s="1">
        <f t="shared" si="6"/>
        <v>0.25</v>
      </c>
      <c r="AM38" s="1">
        <f t="shared" si="8"/>
        <v>0.5</v>
      </c>
      <c r="AN38" s="1">
        <f t="shared" si="7"/>
        <v>10.25</v>
      </c>
      <c r="AO38" s="23" t="str">
        <f t="shared" si="5"/>
        <v>AI-ENABLED</v>
      </c>
    </row>
    <row r="39" spans="1:41" ht="30" customHeight="1" x14ac:dyDescent="0.3">
      <c r="A39" s="19" t="s">
        <v>189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9">
        <f t="shared" si="11"/>
        <v>0</v>
      </c>
      <c r="I39" s="10" t="str">
        <f t="shared" si="12"/>
        <v>DETERMINIST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9">
        <f t="shared" si="13"/>
        <v>0</v>
      </c>
      <c r="Q39" s="10" t="str">
        <f t="shared" si="14"/>
        <v>DETERMINIST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234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 t="s">
        <v>234</v>
      </c>
      <c r="AH39" s="1">
        <f t="shared" si="6"/>
        <v>0</v>
      </c>
      <c r="AI39" s="1">
        <f t="shared" si="6"/>
        <v>0</v>
      </c>
      <c r="AJ39" s="1">
        <f t="shared" si="6"/>
        <v>0</v>
      </c>
      <c r="AK39" s="1">
        <f t="shared" si="6"/>
        <v>0</v>
      </c>
      <c r="AL39" s="1">
        <f t="shared" si="6"/>
        <v>0</v>
      </c>
      <c r="AM39" s="1">
        <f t="shared" si="8"/>
        <v>0</v>
      </c>
      <c r="AN39" s="1">
        <f t="shared" si="7"/>
        <v>0</v>
      </c>
      <c r="AO39" s="23" t="str">
        <f t="shared" si="5"/>
        <v>DETERMINIST</v>
      </c>
    </row>
    <row r="40" spans="1:41" ht="30" customHeight="1" x14ac:dyDescent="0.3">
      <c r="A40" s="13" t="s">
        <v>55</v>
      </c>
      <c r="B40" s="8">
        <v>0</v>
      </c>
      <c r="C40" s="8">
        <v>2</v>
      </c>
      <c r="D40" s="8">
        <v>0</v>
      </c>
      <c r="E40" s="8">
        <v>2</v>
      </c>
      <c r="F40" s="8">
        <v>2</v>
      </c>
      <c r="G40" s="8">
        <v>2</v>
      </c>
      <c r="H40" s="9">
        <f t="shared" si="11"/>
        <v>14</v>
      </c>
      <c r="I40" s="10" t="str">
        <f t="shared" si="12"/>
        <v>AI-CORE</v>
      </c>
      <c r="J40" s="8">
        <v>2</v>
      </c>
      <c r="K40" s="8">
        <v>2</v>
      </c>
      <c r="L40" s="8">
        <v>0</v>
      </c>
      <c r="M40" s="8">
        <v>2</v>
      </c>
      <c r="N40" s="8">
        <v>2</v>
      </c>
      <c r="O40" s="8">
        <v>2</v>
      </c>
      <c r="P40" s="9">
        <f t="shared" si="13"/>
        <v>18</v>
      </c>
      <c r="Q40" s="10" t="str">
        <f t="shared" si="14"/>
        <v>AI-NATIVE</v>
      </c>
      <c r="R40">
        <v>2</v>
      </c>
      <c r="S40">
        <v>2</v>
      </c>
      <c r="T40">
        <v>0</v>
      </c>
      <c r="U40">
        <v>0</v>
      </c>
      <c r="V40">
        <v>2</v>
      </c>
      <c r="W40">
        <v>0</v>
      </c>
      <c r="X40">
        <v>10</v>
      </c>
      <c r="Y40" t="s">
        <v>232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1">
        <v>1</v>
      </c>
      <c r="AG40" s="1" t="s">
        <v>234</v>
      </c>
      <c r="AH40" s="1">
        <f t="shared" si="6"/>
        <v>1</v>
      </c>
      <c r="AI40" s="1">
        <f t="shared" si="6"/>
        <v>1.5</v>
      </c>
      <c r="AJ40" s="1">
        <f t="shared" si="6"/>
        <v>0.25</v>
      </c>
      <c r="AK40" s="1">
        <f t="shared" si="6"/>
        <v>1</v>
      </c>
      <c r="AL40" s="1">
        <f t="shared" si="6"/>
        <v>1.5</v>
      </c>
      <c r="AM40" s="1">
        <f t="shared" si="8"/>
        <v>1</v>
      </c>
      <c r="AN40" s="1">
        <f t="shared" si="7"/>
        <v>10.75</v>
      </c>
      <c r="AO40" s="23" t="str">
        <f t="shared" si="5"/>
        <v>AI-ENABLED</v>
      </c>
    </row>
    <row r="41" spans="1:41" ht="30" customHeight="1" x14ac:dyDescent="0.3">
      <c r="A41" s="12" t="s">
        <v>50</v>
      </c>
      <c r="B41" s="8">
        <v>2</v>
      </c>
      <c r="C41" s="8">
        <v>2</v>
      </c>
      <c r="D41" s="8">
        <v>0</v>
      </c>
      <c r="E41" s="8">
        <v>2</v>
      </c>
      <c r="F41" s="8">
        <v>2</v>
      </c>
      <c r="G41" s="8">
        <v>1</v>
      </c>
      <c r="H41" s="9">
        <f t="shared" si="11"/>
        <v>16</v>
      </c>
      <c r="I41" s="10" t="str">
        <f t="shared" si="12"/>
        <v>AI-CORE</v>
      </c>
      <c r="J41" s="8">
        <v>2</v>
      </c>
      <c r="K41" s="8">
        <v>2</v>
      </c>
      <c r="L41" s="8">
        <v>0</v>
      </c>
      <c r="M41" s="8">
        <v>2</v>
      </c>
      <c r="N41" s="8">
        <v>2</v>
      </c>
      <c r="O41" s="8">
        <v>2</v>
      </c>
      <c r="P41" s="9">
        <f t="shared" si="13"/>
        <v>18</v>
      </c>
      <c r="Q41" s="10" t="str">
        <f t="shared" si="14"/>
        <v>AI-NATIVE</v>
      </c>
      <c r="R41">
        <v>0</v>
      </c>
      <c r="S41">
        <v>2</v>
      </c>
      <c r="T41">
        <v>0</v>
      </c>
      <c r="U41">
        <v>0</v>
      </c>
      <c r="V41">
        <v>2</v>
      </c>
      <c r="W41">
        <v>0</v>
      </c>
      <c r="X41">
        <v>6</v>
      </c>
      <c r="Y41" t="s">
        <v>233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1</v>
      </c>
      <c r="AG41" s="1" t="s">
        <v>234</v>
      </c>
      <c r="AH41" s="1">
        <f t="shared" si="6"/>
        <v>1</v>
      </c>
      <c r="AI41" s="1">
        <f t="shared" si="6"/>
        <v>1.5</v>
      </c>
      <c r="AJ41" s="1">
        <f t="shared" si="6"/>
        <v>0.25</v>
      </c>
      <c r="AK41" s="1">
        <f t="shared" si="6"/>
        <v>1</v>
      </c>
      <c r="AL41" s="1">
        <f t="shared" si="6"/>
        <v>1.5</v>
      </c>
      <c r="AM41" s="1">
        <f t="shared" si="8"/>
        <v>0.75</v>
      </c>
      <c r="AN41" s="1">
        <f t="shared" si="7"/>
        <v>10.25</v>
      </c>
      <c r="AO41" s="23" t="str">
        <f t="shared" si="5"/>
        <v>AI-ENABLED</v>
      </c>
    </row>
    <row r="42" spans="1:41" ht="30" customHeight="1" x14ac:dyDescent="0.3">
      <c r="A42" s="14" t="s">
        <v>59</v>
      </c>
      <c r="B42" s="8">
        <v>2</v>
      </c>
      <c r="C42" s="8">
        <v>2</v>
      </c>
      <c r="D42" s="8">
        <v>0</v>
      </c>
      <c r="E42" s="8">
        <v>2</v>
      </c>
      <c r="F42" s="8">
        <v>2</v>
      </c>
      <c r="G42" s="8">
        <v>1</v>
      </c>
      <c r="H42" s="9">
        <f t="shared" si="11"/>
        <v>16</v>
      </c>
      <c r="I42" s="10" t="str">
        <f t="shared" si="12"/>
        <v>AI-CORE</v>
      </c>
      <c r="J42" s="8">
        <v>2</v>
      </c>
      <c r="K42" s="8">
        <v>2</v>
      </c>
      <c r="L42" s="8">
        <v>0</v>
      </c>
      <c r="M42" s="8">
        <v>2</v>
      </c>
      <c r="N42" s="8">
        <v>2</v>
      </c>
      <c r="O42" s="8">
        <v>1</v>
      </c>
      <c r="P42" s="9">
        <f t="shared" si="13"/>
        <v>16</v>
      </c>
      <c r="Q42" s="10" t="str">
        <f t="shared" si="14"/>
        <v>AI-CORE</v>
      </c>
      <c r="R42">
        <v>2</v>
      </c>
      <c r="S42">
        <v>2</v>
      </c>
      <c r="T42">
        <v>0</v>
      </c>
      <c r="U42">
        <v>2</v>
      </c>
      <c r="V42">
        <v>1</v>
      </c>
      <c r="W42">
        <v>0</v>
      </c>
      <c r="X42">
        <v>13</v>
      </c>
      <c r="Y42" t="s">
        <v>235</v>
      </c>
      <c r="Z42" s="1">
        <v>2</v>
      </c>
      <c r="AA42" s="1">
        <v>2</v>
      </c>
      <c r="AB42" s="1">
        <v>0</v>
      </c>
      <c r="AC42" s="1">
        <v>2</v>
      </c>
      <c r="AD42" s="1">
        <v>2</v>
      </c>
      <c r="AE42" s="1">
        <v>0</v>
      </c>
      <c r="AF42" s="1">
        <v>14</v>
      </c>
      <c r="AG42" s="1" t="s">
        <v>235</v>
      </c>
      <c r="AH42" s="1">
        <f t="shared" si="6"/>
        <v>2</v>
      </c>
      <c r="AI42" s="1">
        <f t="shared" si="6"/>
        <v>2</v>
      </c>
      <c r="AJ42" s="1">
        <f t="shared" si="6"/>
        <v>0</v>
      </c>
      <c r="AK42" s="1">
        <f t="shared" si="6"/>
        <v>2</v>
      </c>
      <c r="AL42" s="1">
        <f t="shared" si="6"/>
        <v>1.75</v>
      </c>
      <c r="AM42" s="1">
        <f t="shared" si="8"/>
        <v>0.5</v>
      </c>
      <c r="AN42" s="1">
        <f t="shared" si="7"/>
        <v>14.75</v>
      </c>
      <c r="AO42" s="23" t="str">
        <f t="shared" si="5"/>
        <v>AI-CORE</v>
      </c>
    </row>
    <row r="43" spans="1:41" ht="30" customHeight="1" x14ac:dyDescent="0.3">
      <c r="A43" s="7" t="s">
        <v>122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9">
        <f t="shared" si="11"/>
        <v>0</v>
      </c>
      <c r="I43" s="10" t="str">
        <f t="shared" si="12"/>
        <v>DETERMINIST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9">
        <f t="shared" si="13"/>
        <v>0</v>
      </c>
      <c r="Q43" s="10" t="str">
        <f t="shared" si="14"/>
        <v>DETERMINIST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234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 t="s">
        <v>234</v>
      </c>
      <c r="AH43" s="1">
        <f t="shared" si="6"/>
        <v>0</v>
      </c>
      <c r="AI43" s="1">
        <f t="shared" si="6"/>
        <v>0</v>
      </c>
      <c r="AJ43" s="1">
        <f t="shared" si="6"/>
        <v>0</v>
      </c>
      <c r="AK43" s="1">
        <f t="shared" si="6"/>
        <v>0</v>
      </c>
      <c r="AL43" s="1">
        <f t="shared" si="6"/>
        <v>0</v>
      </c>
      <c r="AM43" s="1">
        <f t="shared" si="8"/>
        <v>0</v>
      </c>
      <c r="AN43" s="1">
        <f t="shared" si="7"/>
        <v>0</v>
      </c>
      <c r="AO43" s="23" t="str">
        <f t="shared" si="5"/>
        <v>DETERMINIST</v>
      </c>
    </row>
    <row r="44" spans="1:41" ht="30" customHeight="1" x14ac:dyDescent="0.3">
      <c r="A44" s="13" t="s">
        <v>51</v>
      </c>
      <c r="B44" s="8">
        <v>1</v>
      </c>
      <c r="C44" s="8">
        <v>2</v>
      </c>
      <c r="D44" s="8">
        <v>2</v>
      </c>
      <c r="E44" s="8">
        <v>2</v>
      </c>
      <c r="F44" s="8">
        <v>2</v>
      </c>
      <c r="G44" s="8">
        <v>2</v>
      </c>
      <c r="H44" s="9">
        <f t="shared" si="11"/>
        <v>18</v>
      </c>
      <c r="I44" s="10" t="str">
        <f t="shared" si="12"/>
        <v>AI-NATIVE</v>
      </c>
      <c r="J44" s="8">
        <v>2</v>
      </c>
      <c r="K44" s="8">
        <v>2</v>
      </c>
      <c r="L44" s="8">
        <v>0</v>
      </c>
      <c r="M44" s="8">
        <v>2</v>
      </c>
      <c r="N44" s="8">
        <v>2</v>
      </c>
      <c r="O44" s="8">
        <v>2</v>
      </c>
      <c r="P44" s="9">
        <f t="shared" si="13"/>
        <v>18</v>
      </c>
      <c r="Q44" s="10" t="str">
        <f t="shared" si="14"/>
        <v>AI-NATIVE</v>
      </c>
      <c r="R44">
        <v>2</v>
      </c>
      <c r="S44">
        <v>2</v>
      </c>
      <c r="T44">
        <v>0</v>
      </c>
      <c r="U44">
        <v>2</v>
      </c>
      <c r="V44">
        <v>2</v>
      </c>
      <c r="W44">
        <v>2</v>
      </c>
      <c r="X44">
        <v>18</v>
      </c>
      <c r="Y44" t="s">
        <v>236</v>
      </c>
      <c r="Z44" s="1">
        <v>2</v>
      </c>
      <c r="AA44" s="1">
        <v>2</v>
      </c>
      <c r="AB44" s="1">
        <v>0</v>
      </c>
      <c r="AC44" s="1">
        <v>2</v>
      </c>
      <c r="AD44" s="1">
        <v>2</v>
      </c>
      <c r="AE44" s="1">
        <v>2</v>
      </c>
      <c r="AF44" s="1">
        <v>18</v>
      </c>
      <c r="AG44" s="1" t="s">
        <v>236</v>
      </c>
      <c r="AH44" s="1">
        <f t="shared" si="6"/>
        <v>1.75</v>
      </c>
      <c r="AI44" s="1">
        <f t="shared" si="6"/>
        <v>2</v>
      </c>
      <c r="AJ44" s="1">
        <f t="shared" si="6"/>
        <v>0.5</v>
      </c>
      <c r="AK44" s="1">
        <f t="shared" si="6"/>
        <v>2</v>
      </c>
      <c r="AL44" s="1">
        <f t="shared" si="6"/>
        <v>2</v>
      </c>
      <c r="AM44" s="1">
        <f t="shared" si="8"/>
        <v>2</v>
      </c>
      <c r="AN44" s="1">
        <f t="shared" si="7"/>
        <v>18</v>
      </c>
      <c r="AO44" s="23" t="str">
        <f t="shared" si="5"/>
        <v>AI-NATIVE</v>
      </c>
    </row>
    <row r="45" spans="1:41" ht="30" customHeight="1" x14ac:dyDescent="0.3">
      <c r="A45" s="14" t="s">
        <v>64</v>
      </c>
      <c r="B45" s="8">
        <v>2</v>
      </c>
      <c r="C45" s="8">
        <v>2</v>
      </c>
      <c r="D45" s="8">
        <v>0</v>
      </c>
      <c r="E45" s="8">
        <v>2</v>
      </c>
      <c r="F45" s="8">
        <v>2</v>
      </c>
      <c r="G45" s="8">
        <v>0</v>
      </c>
      <c r="H45" s="9">
        <f t="shared" si="11"/>
        <v>14</v>
      </c>
      <c r="I45" s="10" t="str">
        <f t="shared" si="12"/>
        <v>AI-CORE</v>
      </c>
      <c r="J45" s="8">
        <v>2</v>
      </c>
      <c r="K45" s="8">
        <v>2</v>
      </c>
      <c r="L45" s="8">
        <v>0</v>
      </c>
      <c r="M45" s="8">
        <v>2</v>
      </c>
      <c r="N45" s="8">
        <v>2</v>
      </c>
      <c r="O45" s="8">
        <v>1</v>
      </c>
      <c r="P45" s="9">
        <f t="shared" si="13"/>
        <v>16</v>
      </c>
      <c r="Q45" s="10" t="str">
        <f t="shared" si="14"/>
        <v>AI-CORE</v>
      </c>
      <c r="R45">
        <v>2</v>
      </c>
      <c r="S45">
        <v>2</v>
      </c>
      <c r="T45">
        <v>0</v>
      </c>
      <c r="U45">
        <v>2</v>
      </c>
      <c r="V45">
        <v>2</v>
      </c>
      <c r="W45">
        <v>0</v>
      </c>
      <c r="X45">
        <v>14</v>
      </c>
      <c r="Y45" t="s">
        <v>235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 t="s">
        <v>234</v>
      </c>
      <c r="AH45" s="1">
        <f t="shared" si="6"/>
        <v>1.5</v>
      </c>
      <c r="AI45" s="1">
        <f t="shared" si="6"/>
        <v>1.5</v>
      </c>
      <c r="AJ45" s="1">
        <f t="shared" si="6"/>
        <v>0</v>
      </c>
      <c r="AK45" s="1">
        <f t="shared" si="6"/>
        <v>1.5</v>
      </c>
      <c r="AL45" s="1">
        <f t="shared" si="6"/>
        <v>1.5</v>
      </c>
      <c r="AM45" s="1">
        <f t="shared" si="8"/>
        <v>0.25</v>
      </c>
      <c r="AN45" s="1">
        <f t="shared" si="7"/>
        <v>11</v>
      </c>
      <c r="AO45" s="23" t="str">
        <f t="shared" si="5"/>
        <v>AI-ENABLED</v>
      </c>
    </row>
    <row r="46" spans="1:41" ht="30" customHeight="1" x14ac:dyDescent="0.3">
      <c r="A46" s="15" t="s">
        <v>226</v>
      </c>
      <c r="B46" s="8">
        <v>1</v>
      </c>
      <c r="C46" s="8">
        <v>1</v>
      </c>
      <c r="D46" s="8">
        <v>0</v>
      </c>
      <c r="E46" s="8">
        <v>0</v>
      </c>
      <c r="F46" s="8">
        <v>0</v>
      </c>
      <c r="G46" s="8">
        <v>0</v>
      </c>
      <c r="H46" s="9">
        <f t="shared" si="11"/>
        <v>4</v>
      </c>
      <c r="I46" s="10" t="str">
        <f t="shared" si="12"/>
        <v>AI-ADJACENT</v>
      </c>
      <c r="J46" s="8">
        <v>1</v>
      </c>
      <c r="K46" s="8">
        <v>2</v>
      </c>
      <c r="L46" s="8">
        <v>0</v>
      </c>
      <c r="M46" s="8">
        <v>1</v>
      </c>
      <c r="N46" s="8">
        <v>0</v>
      </c>
      <c r="O46" s="8">
        <v>1</v>
      </c>
      <c r="P46" s="9">
        <f t="shared" si="13"/>
        <v>10</v>
      </c>
      <c r="Q46" s="10" t="str">
        <f t="shared" si="14"/>
        <v>AI-ENABLED</v>
      </c>
      <c r="R46">
        <v>2</v>
      </c>
      <c r="S46">
        <v>2</v>
      </c>
      <c r="T46">
        <v>0</v>
      </c>
      <c r="U46">
        <v>0</v>
      </c>
      <c r="V46">
        <v>0</v>
      </c>
      <c r="W46">
        <v>0</v>
      </c>
      <c r="X46">
        <v>8</v>
      </c>
      <c r="Y46" t="s">
        <v>232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 t="s">
        <v>234</v>
      </c>
      <c r="AH46" s="1">
        <f t="shared" si="6"/>
        <v>1</v>
      </c>
      <c r="AI46" s="1">
        <f t="shared" si="6"/>
        <v>1.25</v>
      </c>
      <c r="AJ46" s="1">
        <f t="shared" si="6"/>
        <v>0</v>
      </c>
      <c r="AK46" s="1">
        <f t="shared" si="6"/>
        <v>0.25</v>
      </c>
      <c r="AL46" s="1">
        <f t="shared" si="6"/>
        <v>0</v>
      </c>
      <c r="AM46" s="1">
        <f t="shared" si="8"/>
        <v>0.25</v>
      </c>
      <c r="AN46" s="1">
        <f t="shared" si="7"/>
        <v>5.5</v>
      </c>
      <c r="AO46" s="23" t="str">
        <f t="shared" si="5"/>
        <v>AI-ADJACENT</v>
      </c>
    </row>
    <row r="47" spans="1:41" ht="30" customHeight="1" x14ac:dyDescent="0.3">
      <c r="A47" s="20" t="s">
        <v>112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9">
        <f t="shared" si="11"/>
        <v>0</v>
      </c>
      <c r="I47" s="10" t="str">
        <f t="shared" si="12"/>
        <v>DETERMINIST</v>
      </c>
      <c r="J47" s="8">
        <v>0</v>
      </c>
      <c r="K47" s="8">
        <v>1</v>
      </c>
      <c r="L47" s="8">
        <v>0</v>
      </c>
      <c r="M47" s="8">
        <v>0</v>
      </c>
      <c r="N47" s="8">
        <v>0</v>
      </c>
      <c r="O47" s="8">
        <v>1</v>
      </c>
      <c r="P47" s="9">
        <f t="shared" si="13"/>
        <v>4</v>
      </c>
      <c r="Q47" s="10" t="str">
        <f t="shared" si="14"/>
        <v>AI-ADJACENT</v>
      </c>
      <c r="R47">
        <v>0</v>
      </c>
      <c r="S47">
        <v>2</v>
      </c>
      <c r="T47">
        <v>0</v>
      </c>
      <c r="U47">
        <v>0</v>
      </c>
      <c r="V47">
        <v>1</v>
      </c>
      <c r="W47">
        <v>0</v>
      </c>
      <c r="X47">
        <v>5</v>
      </c>
      <c r="Y47" t="s">
        <v>233</v>
      </c>
      <c r="Z47" s="1">
        <v>2</v>
      </c>
      <c r="AA47" s="1">
        <v>2</v>
      </c>
      <c r="AB47" s="1">
        <v>1</v>
      </c>
      <c r="AC47" s="1">
        <v>2</v>
      </c>
      <c r="AD47" s="1">
        <v>2</v>
      </c>
      <c r="AE47" s="1">
        <v>2</v>
      </c>
      <c r="AF47" s="1">
        <v>19</v>
      </c>
      <c r="AG47" s="1" t="s">
        <v>236</v>
      </c>
      <c r="AH47" s="1">
        <f t="shared" si="6"/>
        <v>0.5</v>
      </c>
      <c r="AI47" s="1">
        <f t="shared" si="6"/>
        <v>1.25</v>
      </c>
      <c r="AJ47" s="1">
        <f t="shared" si="6"/>
        <v>0.25</v>
      </c>
      <c r="AK47" s="1">
        <f t="shared" si="6"/>
        <v>0.5</v>
      </c>
      <c r="AL47" s="1">
        <f t="shared" si="6"/>
        <v>0.75</v>
      </c>
      <c r="AM47" s="1">
        <f t="shared" si="8"/>
        <v>0.75</v>
      </c>
      <c r="AN47" s="1">
        <f t="shared" si="7"/>
        <v>7</v>
      </c>
      <c r="AO47" s="23" t="str">
        <f t="shared" si="5"/>
        <v>AI-ENABLED</v>
      </c>
    </row>
    <row r="48" spans="1:41" ht="30" customHeight="1" x14ac:dyDescent="0.3">
      <c r="A48" s="11" t="s">
        <v>34</v>
      </c>
      <c r="B48" s="8">
        <v>2</v>
      </c>
      <c r="C48" s="8">
        <v>2</v>
      </c>
      <c r="D48" s="8">
        <v>0</v>
      </c>
      <c r="E48" s="8">
        <v>2</v>
      </c>
      <c r="F48" s="8">
        <v>2</v>
      </c>
      <c r="G48" s="8">
        <v>2</v>
      </c>
      <c r="H48" s="9">
        <f t="shared" si="11"/>
        <v>18</v>
      </c>
      <c r="I48" s="10" t="str">
        <f t="shared" si="12"/>
        <v>AI-NATIVE</v>
      </c>
      <c r="J48" s="8">
        <v>2</v>
      </c>
      <c r="K48" s="8">
        <v>2</v>
      </c>
      <c r="L48" s="8">
        <v>1</v>
      </c>
      <c r="M48" s="8">
        <v>2</v>
      </c>
      <c r="N48" s="8">
        <v>2</v>
      </c>
      <c r="O48" s="8">
        <v>2</v>
      </c>
      <c r="P48" s="9">
        <f t="shared" si="13"/>
        <v>19</v>
      </c>
      <c r="Q48" s="10" t="str">
        <f t="shared" si="14"/>
        <v>AI-NATIVE</v>
      </c>
      <c r="R48">
        <v>2</v>
      </c>
      <c r="S48">
        <v>1</v>
      </c>
      <c r="T48">
        <v>2</v>
      </c>
      <c r="U48">
        <v>2</v>
      </c>
      <c r="V48">
        <v>2</v>
      </c>
      <c r="W48">
        <v>2</v>
      </c>
      <c r="X48" s="9">
        <f t="shared" ref="X48" si="15">R48*2+S48*2+T48+U48*2+V48+W48*2</f>
        <v>18</v>
      </c>
      <c r="Y48" s="10" t="str">
        <f t="shared" ref="Y48" si="16">IF(X48="","",IF(X48&lt;=2,"DETERMINIST",IF(X48&lt;=6,"AI-ADJACENT",IF(X48&lt;=11,"AI-ENABLED",IF(X48&lt;=17,"AI-CORE","AI-NATIVE")))))</f>
        <v>AI-NATIVE</v>
      </c>
      <c r="Z48" s="1">
        <v>2</v>
      </c>
      <c r="AA48" s="1">
        <v>1</v>
      </c>
      <c r="AB48" s="1">
        <v>1</v>
      </c>
      <c r="AC48" s="1">
        <v>2</v>
      </c>
      <c r="AD48" s="1">
        <v>2</v>
      </c>
      <c r="AE48" s="1">
        <v>2</v>
      </c>
      <c r="AF48" s="9">
        <f t="shared" ref="AF48" si="17">Z48*2+AA48*2+AB48+AC48*2+AD48+AE48*2</f>
        <v>17</v>
      </c>
      <c r="AG48" s="10" t="str">
        <f t="shared" ref="AG48" si="18">IF(AF48="","",IF(AF48&lt;=2,"DETERMINIST",IF(AF48&lt;=6,"AI-ADJACENT",IF(AF48&lt;=11,"AI-ENABLED",IF(AF48&lt;=17,"AI-CORE","AI-NATIVE")))))</f>
        <v>AI-CORE</v>
      </c>
      <c r="AH48" s="1">
        <f t="shared" si="6"/>
        <v>2</v>
      </c>
      <c r="AI48" s="1">
        <f t="shared" si="6"/>
        <v>1.5</v>
      </c>
      <c r="AJ48" s="1">
        <f t="shared" si="6"/>
        <v>1</v>
      </c>
      <c r="AK48" s="1">
        <f t="shared" si="6"/>
        <v>2</v>
      </c>
      <c r="AL48" s="1">
        <f t="shared" si="6"/>
        <v>2</v>
      </c>
      <c r="AM48" s="1">
        <f t="shared" si="8"/>
        <v>2</v>
      </c>
      <c r="AN48" s="1">
        <f t="shared" si="7"/>
        <v>18</v>
      </c>
      <c r="AO48" s="23" t="str">
        <f t="shared" si="5"/>
        <v>AI-NATIVE</v>
      </c>
    </row>
    <row r="49" spans="1:41" ht="30" customHeight="1" x14ac:dyDescent="0.3">
      <c r="A49" s="13" t="s">
        <v>56</v>
      </c>
      <c r="B49" s="8">
        <v>2</v>
      </c>
      <c r="C49" s="8">
        <v>1</v>
      </c>
      <c r="D49" s="8">
        <v>0</v>
      </c>
      <c r="E49" s="8">
        <v>2</v>
      </c>
      <c r="F49" s="8">
        <v>1</v>
      </c>
      <c r="G49" s="8">
        <v>2</v>
      </c>
      <c r="H49" s="9">
        <f t="shared" si="11"/>
        <v>15</v>
      </c>
      <c r="I49" s="10" t="str">
        <f t="shared" si="12"/>
        <v>AI-CORE</v>
      </c>
      <c r="J49" s="8">
        <v>2</v>
      </c>
      <c r="K49" s="8">
        <v>2</v>
      </c>
      <c r="L49" s="8">
        <v>0</v>
      </c>
      <c r="M49" s="8">
        <v>2</v>
      </c>
      <c r="N49" s="8">
        <v>2</v>
      </c>
      <c r="O49" s="8">
        <v>2</v>
      </c>
      <c r="P49" s="9">
        <f t="shared" si="13"/>
        <v>18</v>
      </c>
      <c r="Q49" s="10" t="str">
        <f t="shared" si="14"/>
        <v>AI-NATIVE</v>
      </c>
      <c r="R49">
        <v>2</v>
      </c>
      <c r="S49">
        <v>2</v>
      </c>
      <c r="T49">
        <v>1</v>
      </c>
      <c r="U49">
        <v>2</v>
      </c>
      <c r="V49">
        <v>2</v>
      </c>
      <c r="W49">
        <v>2</v>
      </c>
      <c r="X49" s="9">
        <f t="shared" ref="X49" si="19">R49*2+S49*2+T49+U49*2+V49+W49*2</f>
        <v>19</v>
      </c>
      <c r="Y49" s="10" t="str">
        <f t="shared" ref="Y49" si="20">IF(X49="","",IF(X49&lt;=2,"DETERMINIST",IF(X49&lt;=6,"AI-ADJACENT",IF(X49&lt;=11,"AI-ENABLED",IF(X49&lt;=17,"AI-CORE","AI-NATIVE")))))</f>
        <v>AI-NATIVE</v>
      </c>
      <c r="Z49" s="1">
        <v>2</v>
      </c>
      <c r="AA49" s="1">
        <v>2</v>
      </c>
      <c r="AB49" s="1">
        <v>0</v>
      </c>
      <c r="AC49" s="1">
        <v>2</v>
      </c>
      <c r="AD49" s="1">
        <v>2</v>
      </c>
      <c r="AE49" s="1">
        <v>2</v>
      </c>
      <c r="AF49" s="1">
        <v>18</v>
      </c>
      <c r="AG49" s="1" t="s">
        <v>236</v>
      </c>
      <c r="AH49" s="1">
        <f t="shared" si="6"/>
        <v>2</v>
      </c>
      <c r="AI49" s="1">
        <f t="shared" si="6"/>
        <v>1.75</v>
      </c>
      <c r="AJ49" s="1">
        <f t="shared" si="6"/>
        <v>0.25</v>
      </c>
      <c r="AK49" s="1">
        <f t="shared" si="6"/>
        <v>2</v>
      </c>
      <c r="AL49" s="1">
        <f t="shared" si="6"/>
        <v>1.75</v>
      </c>
      <c r="AM49" s="1">
        <f t="shared" si="8"/>
        <v>2</v>
      </c>
      <c r="AN49" s="1">
        <f t="shared" si="7"/>
        <v>17.5</v>
      </c>
      <c r="AO49" s="23" t="str">
        <f t="shared" si="5"/>
        <v>AI-NATIVE</v>
      </c>
    </row>
    <row r="50" spans="1:41" ht="30" customHeight="1" x14ac:dyDescent="0.3">
      <c r="A50" s="16" t="s">
        <v>170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9">
        <f t="shared" si="11"/>
        <v>0</v>
      </c>
      <c r="I50" s="10" t="str">
        <f t="shared" si="12"/>
        <v>DETERMINIST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9">
        <f t="shared" si="13"/>
        <v>0</v>
      </c>
      <c r="Q50" s="10" t="str">
        <f t="shared" si="14"/>
        <v>DETERMINIST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234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 t="s">
        <v>234</v>
      </c>
      <c r="AH50" s="1">
        <f t="shared" si="6"/>
        <v>0</v>
      </c>
      <c r="AI50" s="1">
        <f t="shared" si="6"/>
        <v>0</v>
      </c>
      <c r="AJ50" s="1">
        <f t="shared" si="6"/>
        <v>0</v>
      </c>
      <c r="AK50" s="1">
        <f t="shared" si="6"/>
        <v>0</v>
      </c>
      <c r="AL50" s="1">
        <f t="shared" si="6"/>
        <v>0</v>
      </c>
      <c r="AM50" s="1">
        <f t="shared" si="8"/>
        <v>0</v>
      </c>
      <c r="AN50" s="1">
        <f t="shared" si="7"/>
        <v>0</v>
      </c>
      <c r="AO50" s="23" t="str">
        <f t="shared" si="5"/>
        <v>DETERMINIST</v>
      </c>
    </row>
    <row r="51" spans="1:41" ht="30" customHeight="1" x14ac:dyDescent="0.3">
      <c r="A51" s="7" t="s">
        <v>121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9">
        <f t="shared" si="11"/>
        <v>0</v>
      </c>
      <c r="I51" s="10" t="str">
        <f t="shared" si="12"/>
        <v>DETERMINIST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9">
        <f t="shared" si="13"/>
        <v>2</v>
      </c>
      <c r="Q51" s="10" t="str">
        <f t="shared" si="14"/>
        <v>DETERMINIST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234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 t="s">
        <v>234</v>
      </c>
      <c r="AH51" s="1">
        <f t="shared" si="6"/>
        <v>0</v>
      </c>
      <c r="AI51" s="1">
        <f t="shared" si="6"/>
        <v>0</v>
      </c>
      <c r="AJ51" s="1">
        <f t="shared" si="6"/>
        <v>0</v>
      </c>
      <c r="AK51" s="1">
        <f t="shared" si="6"/>
        <v>0</v>
      </c>
      <c r="AL51" s="1">
        <f t="shared" si="6"/>
        <v>0</v>
      </c>
      <c r="AM51" s="1">
        <f t="shared" si="8"/>
        <v>0.25</v>
      </c>
      <c r="AN51" s="1">
        <f t="shared" si="7"/>
        <v>0.5</v>
      </c>
      <c r="AO51" s="23" t="str">
        <f t="shared" si="5"/>
        <v>DETERMINIST</v>
      </c>
    </row>
    <row r="52" spans="1:41" ht="30" customHeight="1" x14ac:dyDescent="0.3">
      <c r="A52" s="12" t="s">
        <v>48</v>
      </c>
      <c r="B52" s="8">
        <v>2</v>
      </c>
      <c r="C52" s="8">
        <v>2</v>
      </c>
      <c r="D52" s="8">
        <v>0</v>
      </c>
      <c r="E52" s="8">
        <v>2</v>
      </c>
      <c r="F52" s="8">
        <v>2</v>
      </c>
      <c r="G52" s="8">
        <v>2</v>
      </c>
      <c r="H52" s="9">
        <f t="shared" si="11"/>
        <v>18</v>
      </c>
      <c r="I52" s="10" t="str">
        <f t="shared" si="12"/>
        <v>AI-NATIVE</v>
      </c>
      <c r="J52" s="8">
        <v>2</v>
      </c>
      <c r="K52" s="8">
        <v>2</v>
      </c>
      <c r="L52" s="8">
        <v>0</v>
      </c>
      <c r="M52" s="8">
        <v>2</v>
      </c>
      <c r="N52" s="8">
        <v>2</v>
      </c>
      <c r="O52" s="8">
        <v>2</v>
      </c>
      <c r="P52" s="9">
        <f t="shared" si="13"/>
        <v>18</v>
      </c>
      <c r="Q52" s="10" t="str">
        <f t="shared" si="14"/>
        <v>AI-NATIVE</v>
      </c>
      <c r="R52">
        <v>0</v>
      </c>
      <c r="S52">
        <v>2</v>
      </c>
      <c r="T52">
        <v>0</v>
      </c>
      <c r="U52">
        <v>2</v>
      </c>
      <c r="V52">
        <v>2</v>
      </c>
      <c r="W52">
        <v>2</v>
      </c>
      <c r="X52" s="9">
        <f t="shared" ref="X52" si="21">R52*2+S52*2+T52+U52*2+V52+W52*2</f>
        <v>14</v>
      </c>
      <c r="Y52" s="10" t="str">
        <f t="shared" ref="Y52" si="22">IF(X52="","",IF(X52&lt;=2,"DETERMINIST",IF(X52&lt;=6,"AI-ADJACENT",IF(X52&lt;=11,"AI-ENABLED",IF(X52&lt;=17,"AI-CORE","AI-NATIVE")))))</f>
        <v>AI-CORE</v>
      </c>
      <c r="Z52" s="1">
        <v>2</v>
      </c>
      <c r="AA52" s="1">
        <v>2</v>
      </c>
      <c r="AB52" s="1">
        <v>2</v>
      </c>
      <c r="AC52" s="1">
        <v>2</v>
      </c>
      <c r="AD52" s="1">
        <v>2</v>
      </c>
      <c r="AE52" s="1">
        <v>2</v>
      </c>
      <c r="AF52" s="9">
        <f t="shared" ref="AF52" si="23">Z52*2+AA52*2+AB52+AC52*2+AD52+AE52*2</f>
        <v>20</v>
      </c>
      <c r="AG52" s="10" t="str">
        <f t="shared" ref="AG52" si="24">IF(AF52="","",IF(AF52&lt;=2,"DETERMINIST",IF(AF52&lt;=6,"AI-ADJACENT",IF(AF52&lt;=11,"AI-ENABLED",IF(AF52&lt;=17,"AI-CORE","AI-NATIVE")))))</f>
        <v>AI-NATIVE</v>
      </c>
      <c r="AH52" s="1">
        <f t="shared" si="6"/>
        <v>1.5</v>
      </c>
      <c r="AI52" s="1">
        <f t="shared" si="6"/>
        <v>2</v>
      </c>
      <c r="AJ52" s="1">
        <f t="shared" si="6"/>
        <v>0.5</v>
      </c>
      <c r="AK52" s="1">
        <f t="shared" si="6"/>
        <v>2</v>
      </c>
      <c r="AL52" s="1">
        <f t="shared" si="6"/>
        <v>2</v>
      </c>
      <c r="AM52" s="1">
        <f t="shared" si="8"/>
        <v>2</v>
      </c>
      <c r="AN52" s="1">
        <f t="shared" si="7"/>
        <v>17.5</v>
      </c>
      <c r="AO52" s="23" t="str">
        <f t="shared" si="5"/>
        <v>AI-NATIVE</v>
      </c>
    </row>
    <row r="53" spans="1:41" ht="30" customHeight="1" x14ac:dyDescent="0.3">
      <c r="A53" s="18" t="s">
        <v>94</v>
      </c>
      <c r="B53" s="8">
        <v>2</v>
      </c>
      <c r="C53" s="8">
        <v>2</v>
      </c>
      <c r="D53" s="8">
        <v>1</v>
      </c>
      <c r="E53" s="8">
        <v>2</v>
      </c>
      <c r="F53" s="8">
        <v>1</v>
      </c>
      <c r="G53" s="8">
        <v>1</v>
      </c>
      <c r="H53" s="9">
        <f t="shared" si="11"/>
        <v>16</v>
      </c>
      <c r="I53" s="10" t="str">
        <f t="shared" si="12"/>
        <v>AI-CORE</v>
      </c>
      <c r="J53" s="8">
        <v>2</v>
      </c>
      <c r="K53" s="8">
        <v>2</v>
      </c>
      <c r="L53" s="8">
        <v>2</v>
      </c>
      <c r="M53" s="8">
        <v>2</v>
      </c>
      <c r="N53" s="8">
        <v>1</v>
      </c>
      <c r="O53" s="8">
        <v>2</v>
      </c>
      <c r="P53" s="9">
        <f t="shared" si="13"/>
        <v>19</v>
      </c>
      <c r="Q53" s="10" t="str">
        <f t="shared" si="14"/>
        <v>AI-NATIVE</v>
      </c>
      <c r="R53">
        <v>2</v>
      </c>
      <c r="S53">
        <v>2</v>
      </c>
      <c r="T53">
        <v>0</v>
      </c>
      <c r="U53">
        <v>2</v>
      </c>
      <c r="V53">
        <v>1</v>
      </c>
      <c r="W53">
        <v>0</v>
      </c>
      <c r="X53">
        <v>13</v>
      </c>
      <c r="Y53" t="s">
        <v>235</v>
      </c>
      <c r="Z53" s="1">
        <v>2</v>
      </c>
      <c r="AA53" s="1">
        <v>1</v>
      </c>
      <c r="AB53" s="1">
        <v>2</v>
      </c>
      <c r="AC53" s="1">
        <v>1</v>
      </c>
      <c r="AD53" s="1">
        <v>2</v>
      </c>
      <c r="AE53" s="1">
        <v>1</v>
      </c>
      <c r="AF53" s="9">
        <f t="shared" ref="AF53" si="25">Z53*2+AA53*2+AB53+AC53*2+AD53+AE53*2</f>
        <v>14</v>
      </c>
      <c r="AG53" s="10" t="str">
        <f t="shared" ref="AG53" si="26">IF(AF53="","",IF(AF53&lt;=2,"DETERMINIST",IF(AF53&lt;=6,"AI-ADJACENT",IF(AF53&lt;=11,"AI-ENABLED",IF(AF53&lt;=17,"AI-CORE","AI-NATIVE")))))</f>
        <v>AI-CORE</v>
      </c>
      <c r="AH53" s="1">
        <f t="shared" si="6"/>
        <v>2</v>
      </c>
      <c r="AI53" s="1">
        <f t="shared" si="6"/>
        <v>1.75</v>
      </c>
      <c r="AJ53" s="1">
        <f t="shared" si="6"/>
        <v>1.25</v>
      </c>
      <c r="AK53" s="1">
        <f t="shared" si="6"/>
        <v>1.75</v>
      </c>
      <c r="AL53" s="1">
        <f t="shared" si="6"/>
        <v>1.25</v>
      </c>
      <c r="AM53" s="1">
        <f t="shared" si="8"/>
        <v>1</v>
      </c>
      <c r="AN53" s="1">
        <f t="shared" si="7"/>
        <v>15.5</v>
      </c>
      <c r="AO53" s="23" t="str">
        <f t="shared" si="5"/>
        <v>AI-CORE</v>
      </c>
    </row>
    <row r="54" spans="1:41" ht="30" customHeight="1" x14ac:dyDescent="0.3">
      <c r="A54" s="15" t="s">
        <v>69</v>
      </c>
      <c r="B54" s="8">
        <v>2</v>
      </c>
      <c r="C54" s="8">
        <v>2</v>
      </c>
      <c r="D54" s="8">
        <v>0</v>
      </c>
      <c r="E54" s="8">
        <v>2</v>
      </c>
      <c r="F54" s="8">
        <v>1</v>
      </c>
      <c r="G54" s="8">
        <v>0</v>
      </c>
      <c r="H54" s="9">
        <f t="shared" si="11"/>
        <v>13</v>
      </c>
      <c r="I54" s="10" t="str">
        <f t="shared" si="12"/>
        <v>AI-CORE</v>
      </c>
      <c r="J54" s="8">
        <v>2</v>
      </c>
      <c r="K54" s="8">
        <v>2</v>
      </c>
      <c r="L54" s="8">
        <v>1</v>
      </c>
      <c r="M54" s="8">
        <v>2</v>
      </c>
      <c r="N54" s="8">
        <v>1</v>
      </c>
      <c r="O54" s="8">
        <v>0</v>
      </c>
      <c r="P54" s="9">
        <f t="shared" si="13"/>
        <v>14</v>
      </c>
      <c r="Q54" s="10" t="str">
        <f t="shared" si="14"/>
        <v>AI-CORE</v>
      </c>
      <c r="R54">
        <v>2</v>
      </c>
      <c r="S54">
        <v>2</v>
      </c>
      <c r="T54">
        <v>0</v>
      </c>
      <c r="U54">
        <v>2</v>
      </c>
      <c r="V54">
        <v>0</v>
      </c>
      <c r="W54">
        <v>0</v>
      </c>
      <c r="X54">
        <v>12</v>
      </c>
      <c r="Y54" t="s">
        <v>235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 t="s">
        <v>234</v>
      </c>
      <c r="AH54" s="1">
        <f t="shared" si="6"/>
        <v>1.5</v>
      </c>
      <c r="AI54" s="1">
        <f t="shared" si="6"/>
        <v>1.5</v>
      </c>
      <c r="AJ54" s="1">
        <f t="shared" si="6"/>
        <v>0.25</v>
      </c>
      <c r="AK54" s="1">
        <f t="shared" si="6"/>
        <v>1.5</v>
      </c>
      <c r="AL54" s="1">
        <f t="shared" si="6"/>
        <v>0.5</v>
      </c>
      <c r="AM54" s="1">
        <f t="shared" si="8"/>
        <v>0</v>
      </c>
      <c r="AN54" s="1">
        <f t="shared" si="7"/>
        <v>9.75</v>
      </c>
      <c r="AO54" s="23" t="str">
        <f t="shared" si="5"/>
        <v>AI-ENABLED</v>
      </c>
    </row>
    <row r="55" spans="1:41" ht="30" customHeight="1" x14ac:dyDescent="0.3">
      <c r="A55" s="7" t="s">
        <v>31</v>
      </c>
      <c r="B55" s="8">
        <v>0</v>
      </c>
      <c r="C55" s="8">
        <v>2</v>
      </c>
      <c r="D55" s="8">
        <v>0</v>
      </c>
      <c r="E55" s="8">
        <v>2</v>
      </c>
      <c r="F55" s="8">
        <v>2</v>
      </c>
      <c r="G55" s="8">
        <v>2</v>
      </c>
      <c r="H55" s="9">
        <f t="shared" si="11"/>
        <v>14</v>
      </c>
      <c r="I55" s="10" t="str">
        <f t="shared" si="12"/>
        <v>AI-CORE</v>
      </c>
      <c r="J55" s="8">
        <v>0</v>
      </c>
      <c r="K55" s="8">
        <v>1</v>
      </c>
      <c r="L55" s="8">
        <v>0</v>
      </c>
      <c r="M55" s="8">
        <v>1</v>
      </c>
      <c r="N55" s="8">
        <v>2</v>
      </c>
      <c r="O55" s="8">
        <v>2</v>
      </c>
      <c r="P55" s="9">
        <f t="shared" si="13"/>
        <v>10</v>
      </c>
      <c r="Q55" s="10" t="str">
        <f t="shared" si="14"/>
        <v>AI-ENABLED</v>
      </c>
      <c r="R55">
        <v>0</v>
      </c>
      <c r="S55">
        <v>2</v>
      </c>
      <c r="T55">
        <v>0</v>
      </c>
      <c r="U55">
        <v>0</v>
      </c>
      <c r="V55">
        <v>2</v>
      </c>
      <c r="W55">
        <v>2</v>
      </c>
      <c r="X55">
        <v>10</v>
      </c>
      <c r="Y55" t="s">
        <v>232</v>
      </c>
      <c r="Z55" s="1">
        <v>2</v>
      </c>
      <c r="AA55" s="1">
        <v>2</v>
      </c>
      <c r="AB55" s="1">
        <v>1</v>
      </c>
      <c r="AC55" s="1">
        <v>2</v>
      </c>
      <c r="AD55" s="1">
        <v>2</v>
      </c>
      <c r="AE55" s="1">
        <v>2</v>
      </c>
      <c r="AF55" s="1">
        <v>19</v>
      </c>
      <c r="AG55" s="1" t="s">
        <v>236</v>
      </c>
      <c r="AH55" s="1">
        <f t="shared" si="6"/>
        <v>0.5</v>
      </c>
      <c r="AI55" s="1">
        <f t="shared" si="6"/>
        <v>1.75</v>
      </c>
      <c r="AJ55" s="1">
        <f t="shared" si="6"/>
        <v>0.25</v>
      </c>
      <c r="AK55" s="1">
        <f t="shared" si="6"/>
        <v>1.25</v>
      </c>
      <c r="AL55" s="1">
        <f t="shared" si="6"/>
        <v>2</v>
      </c>
      <c r="AM55" s="1">
        <f t="shared" si="8"/>
        <v>2</v>
      </c>
      <c r="AN55" s="1">
        <f t="shared" si="7"/>
        <v>13.25</v>
      </c>
      <c r="AO55" s="23" t="str">
        <f t="shared" si="5"/>
        <v>AI-CORE</v>
      </c>
    </row>
    <row r="56" spans="1:41" ht="30" customHeight="1" x14ac:dyDescent="0.3">
      <c r="A56" s="12" t="s">
        <v>49</v>
      </c>
      <c r="B56" s="8">
        <v>2</v>
      </c>
      <c r="C56" s="8">
        <v>2</v>
      </c>
      <c r="D56" s="8">
        <v>0</v>
      </c>
      <c r="E56" s="8">
        <v>2</v>
      </c>
      <c r="F56" s="8">
        <v>2</v>
      </c>
      <c r="G56" s="8">
        <v>2</v>
      </c>
      <c r="H56" s="9">
        <f t="shared" si="11"/>
        <v>18</v>
      </c>
      <c r="I56" s="10" t="str">
        <f t="shared" si="12"/>
        <v>AI-NATIVE</v>
      </c>
      <c r="J56" s="8">
        <v>2</v>
      </c>
      <c r="K56" s="8">
        <v>2</v>
      </c>
      <c r="L56" s="8">
        <v>0</v>
      </c>
      <c r="M56" s="8">
        <v>2</v>
      </c>
      <c r="N56" s="8">
        <v>2</v>
      </c>
      <c r="O56" s="8">
        <v>1</v>
      </c>
      <c r="P56" s="9">
        <f t="shared" si="13"/>
        <v>16</v>
      </c>
      <c r="Q56" s="10" t="str">
        <f t="shared" si="14"/>
        <v>AI-CORE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2</v>
      </c>
      <c r="Y56" t="s">
        <v>234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1</v>
      </c>
      <c r="AG56" s="1" t="s">
        <v>234</v>
      </c>
      <c r="AH56" s="1">
        <f t="shared" si="6"/>
        <v>1</v>
      </c>
      <c r="AI56" s="1">
        <f t="shared" si="6"/>
        <v>1.25</v>
      </c>
      <c r="AJ56" s="1">
        <f t="shared" si="6"/>
        <v>0.25</v>
      </c>
      <c r="AK56" s="1">
        <f t="shared" si="6"/>
        <v>1</v>
      </c>
      <c r="AL56" s="1">
        <f t="shared" si="6"/>
        <v>1</v>
      </c>
      <c r="AM56" s="1">
        <f t="shared" si="8"/>
        <v>0.75</v>
      </c>
      <c r="AN56" s="1">
        <f t="shared" si="7"/>
        <v>9.25</v>
      </c>
      <c r="AO56" s="23" t="str">
        <f t="shared" si="5"/>
        <v>AI-ENABLED</v>
      </c>
    </row>
    <row r="57" spans="1:41" ht="30" customHeight="1" x14ac:dyDescent="0.3">
      <c r="A57" s="11" t="s">
        <v>130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9">
        <f t="shared" si="11"/>
        <v>0</v>
      </c>
      <c r="I57" s="10" t="str">
        <f t="shared" si="12"/>
        <v>DETERMINIST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9">
        <f t="shared" si="13"/>
        <v>0</v>
      </c>
      <c r="Q57" s="10" t="str">
        <f t="shared" si="14"/>
        <v>DETERMINIST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234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 t="s">
        <v>234</v>
      </c>
      <c r="AH57" s="1">
        <f t="shared" si="6"/>
        <v>0</v>
      </c>
      <c r="AI57" s="1">
        <f t="shared" si="6"/>
        <v>0</v>
      </c>
      <c r="AJ57" s="1">
        <f t="shared" si="6"/>
        <v>0</v>
      </c>
      <c r="AK57" s="1">
        <f t="shared" si="6"/>
        <v>0</v>
      </c>
      <c r="AL57" s="1">
        <f t="shared" si="6"/>
        <v>0</v>
      </c>
      <c r="AM57" s="1">
        <f t="shared" si="8"/>
        <v>0</v>
      </c>
      <c r="AN57" s="1">
        <f t="shared" si="7"/>
        <v>0</v>
      </c>
      <c r="AO57" s="23" t="str">
        <f t="shared" si="5"/>
        <v>DETERMINIST</v>
      </c>
    </row>
    <row r="58" spans="1:41" ht="30" customHeight="1" x14ac:dyDescent="0.3">
      <c r="A58" s="15" t="s">
        <v>157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9">
        <f t="shared" si="11"/>
        <v>0</v>
      </c>
      <c r="I58" s="10" t="str">
        <f t="shared" si="12"/>
        <v>DETERMINIST</v>
      </c>
      <c r="J58" s="8">
        <v>0</v>
      </c>
      <c r="K58" s="8">
        <v>1</v>
      </c>
      <c r="L58" s="8">
        <v>0</v>
      </c>
      <c r="M58" s="8">
        <v>0</v>
      </c>
      <c r="N58" s="8">
        <v>0</v>
      </c>
      <c r="O58" s="8">
        <v>0</v>
      </c>
      <c r="P58" s="9">
        <f t="shared" si="13"/>
        <v>2</v>
      </c>
      <c r="Q58" s="10" t="str">
        <f t="shared" si="14"/>
        <v>DETERMINIST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234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 t="s">
        <v>234</v>
      </c>
      <c r="AH58" s="1">
        <f t="shared" si="6"/>
        <v>0</v>
      </c>
      <c r="AI58" s="1">
        <f t="shared" si="6"/>
        <v>0.25</v>
      </c>
      <c r="AJ58" s="1">
        <f t="shared" si="6"/>
        <v>0</v>
      </c>
      <c r="AK58" s="1">
        <f t="shared" si="6"/>
        <v>0</v>
      </c>
      <c r="AL58" s="1">
        <f t="shared" si="6"/>
        <v>0</v>
      </c>
      <c r="AM58" s="1">
        <f t="shared" si="8"/>
        <v>0</v>
      </c>
      <c r="AN58" s="1">
        <f t="shared" si="7"/>
        <v>0.5</v>
      </c>
      <c r="AO58" s="23" t="str">
        <f t="shared" si="5"/>
        <v>DETERMINIST</v>
      </c>
    </row>
    <row r="59" spans="1:41" ht="30" customHeight="1" x14ac:dyDescent="0.3">
      <c r="A59" s="19" t="s">
        <v>103</v>
      </c>
      <c r="B59" s="8">
        <v>2</v>
      </c>
      <c r="C59" s="8">
        <v>2</v>
      </c>
      <c r="D59" s="8">
        <v>1</v>
      </c>
      <c r="E59" s="8">
        <v>2</v>
      </c>
      <c r="F59" s="8">
        <v>2</v>
      </c>
      <c r="G59" s="8">
        <v>1</v>
      </c>
      <c r="H59" s="9">
        <f t="shared" si="11"/>
        <v>17</v>
      </c>
      <c r="I59" s="10" t="str">
        <f t="shared" si="12"/>
        <v>AI-CORE</v>
      </c>
      <c r="J59" s="8">
        <v>2</v>
      </c>
      <c r="K59" s="8">
        <v>2</v>
      </c>
      <c r="L59" s="8">
        <v>0</v>
      </c>
      <c r="M59" s="8">
        <v>2</v>
      </c>
      <c r="N59" s="8">
        <v>0</v>
      </c>
      <c r="O59" s="8">
        <v>0</v>
      </c>
      <c r="P59" s="9">
        <f t="shared" si="13"/>
        <v>12</v>
      </c>
      <c r="Q59" s="10" t="str">
        <f t="shared" si="14"/>
        <v>AI-CORE</v>
      </c>
      <c r="R59">
        <v>2</v>
      </c>
      <c r="S59">
        <v>2</v>
      </c>
      <c r="T59">
        <v>0</v>
      </c>
      <c r="U59">
        <v>2</v>
      </c>
      <c r="V59">
        <v>0</v>
      </c>
      <c r="W59">
        <v>0</v>
      </c>
      <c r="X59">
        <v>12</v>
      </c>
      <c r="Y59" t="s">
        <v>235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 t="s">
        <v>234</v>
      </c>
      <c r="AH59" s="1">
        <f t="shared" si="6"/>
        <v>1.5</v>
      </c>
      <c r="AI59" s="1">
        <f t="shared" si="6"/>
        <v>1.5</v>
      </c>
      <c r="AJ59" s="1">
        <f t="shared" si="6"/>
        <v>0.25</v>
      </c>
      <c r="AK59" s="1">
        <f t="shared" si="6"/>
        <v>1.5</v>
      </c>
      <c r="AL59" s="1">
        <f t="shared" si="6"/>
        <v>0.5</v>
      </c>
      <c r="AM59" s="1">
        <f t="shared" si="8"/>
        <v>0.25</v>
      </c>
      <c r="AN59" s="1">
        <f t="shared" si="7"/>
        <v>10.25</v>
      </c>
      <c r="AO59" s="23" t="str">
        <f t="shared" si="5"/>
        <v>AI-ENABLED</v>
      </c>
    </row>
    <row r="60" spans="1:41" ht="30" customHeight="1" x14ac:dyDescent="0.3">
      <c r="A60" s="13" t="s">
        <v>140</v>
      </c>
      <c r="B60" s="8">
        <v>1</v>
      </c>
      <c r="C60" s="8">
        <v>1</v>
      </c>
      <c r="D60" s="8">
        <v>0</v>
      </c>
      <c r="E60" s="8">
        <v>1</v>
      </c>
      <c r="F60" s="8">
        <v>0</v>
      </c>
      <c r="G60" s="8">
        <v>0</v>
      </c>
      <c r="H60" s="9">
        <f t="shared" si="11"/>
        <v>6</v>
      </c>
      <c r="I60" s="10" t="str">
        <f t="shared" si="12"/>
        <v>AI-ADJACENT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9">
        <f t="shared" si="13"/>
        <v>0</v>
      </c>
      <c r="Q60" s="10" t="str">
        <f t="shared" si="14"/>
        <v>DETERMINIST</v>
      </c>
      <c r="R60">
        <v>2</v>
      </c>
      <c r="S60">
        <v>2</v>
      </c>
      <c r="T60">
        <v>0</v>
      </c>
      <c r="U60">
        <v>2</v>
      </c>
      <c r="V60">
        <v>0</v>
      </c>
      <c r="W60">
        <v>0</v>
      </c>
      <c r="X60">
        <v>12</v>
      </c>
      <c r="Y60" t="s">
        <v>235</v>
      </c>
      <c r="Z60" s="1">
        <v>0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2</v>
      </c>
      <c r="AG60" s="1" t="s">
        <v>234</v>
      </c>
      <c r="AH60" s="1">
        <f t="shared" si="6"/>
        <v>0.75</v>
      </c>
      <c r="AI60" s="1">
        <f t="shared" si="6"/>
        <v>1</v>
      </c>
      <c r="AJ60" s="1">
        <f t="shared" si="6"/>
        <v>0</v>
      </c>
      <c r="AK60" s="1">
        <f t="shared" si="6"/>
        <v>0.75</v>
      </c>
      <c r="AL60" s="1">
        <f t="shared" si="6"/>
        <v>0</v>
      </c>
      <c r="AM60" s="1">
        <f t="shared" si="8"/>
        <v>0</v>
      </c>
      <c r="AN60" s="1">
        <f t="shared" si="7"/>
        <v>5</v>
      </c>
      <c r="AO60" s="23" t="str">
        <f t="shared" si="5"/>
        <v>AI-ADJACENT</v>
      </c>
    </row>
    <row r="61" spans="1:41" ht="30" customHeight="1" x14ac:dyDescent="0.3">
      <c r="A61" s="19" t="s">
        <v>187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9">
        <f t="shared" si="11"/>
        <v>0</v>
      </c>
      <c r="I61" s="10" t="str">
        <f t="shared" si="12"/>
        <v>DETERMINIST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9">
        <f t="shared" si="13"/>
        <v>0</v>
      </c>
      <c r="Q61" s="10" t="str">
        <f t="shared" si="14"/>
        <v>DETERMINIST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234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 t="s">
        <v>234</v>
      </c>
      <c r="AH61" s="1">
        <f t="shared" si="6"/>
        <v>0</v>
      </c>
      <c r="AI61" s="1">
        <f t="shared" si="6"/>
        <v>0</v>
      </c>
      <c r="AJ61" s="1">
        <f t="shared" si="6"/>
        <v>0</v>
      </c>
      <c r="AK61" s="1">
        <f t="shared" si="6"/>
        <v>0</v>
      </c>
      <c r="AL61" s="1">
        <f t="shared" si="6"/>
        <v>0</v>
      </c>
      <c r="AM61" s="1">
        <f t="shared" si="8"/>
        <v>0</v>
      </c>
      <c r="AN61" s="1">
        <f t="shared" si="7"/>
        <v>0</v>
      </c>
      <c r="AO61" s="23" t="str">
        <f t="shared" si="5"/>
        <v>DETERMINIST</v>
      </c>
    </row>
    <row r="62" spans="1:41" ht="30" customHeight="1" x14ac:dyDescent="0.3">
      <c r="A62" s="18" t="s">
        <v>185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9">
        <f t="shared" si="11"/>
        <v>0</v>
      </c>
      <c r="I62" s="10" t="str">
        <f t="shared" si="12"/>
        <v>DETERMINIST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9">
        <f t="shared" si="13"/>
        <v>0</v>
      </c>
      <c r="Q62" s="10" t="str">
        <f t="shared" si="14"/>
        <v>DETERMINIST</v>
      </c>
      <c r="R62">
        <v>2</v>
      </c>
      <c r="S62">
        <v>1</v>
      </c>
      <c r="T62">
        <v>0</v>
      </c>
      <c r="U62">
        <v>1</v>
      </c>
      <c r="V62">
        <v>0</v>
      </c>
      <c r="W62">
        <v>0</v>
      </c>
      <c r="X62">
        <v>8</v>
      </c>
      <c r="Y62" t="s">
        <v>232</v>
      </c>
      <c r="Z62" s="1">
        <v>0</v>
      </c>
      <c r="AA62" s="1">
        <v>1</v>
      </c>
      <c r="AB62" s="1">
        <v>0</v>
      </c>
      <c r="AC62" s="1">
        <v>2</v>
      </c>
      <c r="AD62" s="1">
        <v>0</v>
      </c>
      <c r="AE62" s="1">
        <v>0</v>
      </c>
      <c r="AF62" s="1">
        <v>6</v>
      </c>
      <c r="AG62" s="1" t="s">
        <v>233</v>
      </c>
      <c r="AH62" s="1">
        <f t="shared" si="6"/>
        <v>0.5</v>
      </c>
      <c r="AI62" s="1">
        <f t="shared" si="6"/>
        <v>0.5</v>
      </c>
      <c r="AJ62" s="1">
        <f t="shared" si="6"/>
        <v>0</v>
      </c>
      <c r="AK62" s="1">
        <f t="shared" si="6"/>
        <v>0.75</v>
      </c>
      <c r="AL62" s="1">
        <f t="shared" ref="AL62:AM125" si="27">AVERAGE(F62,N62,V62,AD62)</f>
        <v>0</v>
      </c>
      <c r="AM62" s="1">
        <f t="shared" si="8"/>
        <v>0</v>
      </c>
      <c r="AN62" s="1">
        <f t="shared" si="7"/>
        <v>3.5</v>
      </c>
      <c r="AO62" s="23" t="str">
        <f t="shared" si="5"/>
        <v>AI-ADJACENT</v>
      </c>
    </row>
    <row r="63" spans="1:41" ht="30" customHeight="1" x14ac:dyDescent="0.3">
      <c r="A63" s="14" t="s">
        <v>152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9">
        <f t="shared" si="11"/>
        <v>0</v>
      </c>
      <c r="I63" s="10" t="str">
        <f t="shared" si="12"/>
        <v>DETERMINIST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9">
        <f t="shared" si="13"/>
        <v>0</v>
      </c>
      <c r="Q63" s="10" t="str">
        <f t="shared" si="14"/>
        <v>DETERMINIST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234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 t="s">
        <v>234</v>
      </c>
      <c r="AH63" s="1">
        <f t="shared" si="6"/>
        <v>0</v>
      </c>
      <c r="AI63" s="1">
        <f t="shared" si="6"/>
        <v>0</v>
      </c>
      <c r="AJ63" s="1">
        <f t="shared" si="6"/>
        <v>0</v>
      </c>
      <c r="AK63" s="1">
        <f t="shared" si="6"/>
        <v>0</v>
      </c>
      <c r="AL63" s="1">
        <f t="shared" si="27"/>
        <v>0</v>
      </c>
      <c r="AM63" s="1">
        <f t="shared" si="8"/>
        <v>0</v>
      </c>
      <c r="AN63" s="1">
        <f t="shared" si="7"/>
        <v>0</v>
      </c>
      <c r="AO63" s="23" t="str">
        <f t="shared" si="5"/>
        <v>DETERMINIST</v>
      </c>
    </row>
    <row r="64" spans="1:41" ht="30" customHeight="1" x14ac:dyDescent="0.3">
      <c r="A64" s="17" t="s">
        <v>91</v>
      </c>
      <c r="B64" s="8">
        <v>2</v>
      </c>
      <c r="C64" s="8">
        <v>2</v>
      </c>
      <c r="D64" s="8">
        <v>1</v>
      </c>
      <c r="E64" s="8">
        <v>2</v>
      </c>
      <c r="F64" s="8">
        <v>2</v>
      </c>
      <c r="G64" s="8">
        <v>0</v>
      </c>
      <c r="H64" s="9">
        <f t="shared" si="11"/>
        <v>15</v>
      </c>
      <c r="I64" s="10" t="str">
        <f t="shared" si="12"/>
        <v>AI-CORE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9">
        <f t="shared" si="13"/>
        <v>0</v>
      </c>
      <c r="Q64" s="10" t="str">
        <f t="shared" si="14"/>
        <v>DETERMINIST</v>
      </c>
      <c r="R64">
        <v>2</v>
      </c>
      <c r="S64">
        <v>2</v>
      </c>
      <c r="T64">
        <v>0</v>
      </c>
      <c r="U64">
        <v>2</v>
      </c>
      <c r="V64">
        <v>1</v>
      </c>
      <c r="W64">
        <v>0</v>
      </c>
      <c r="X64">
        <v>13</v>
      </c>
      <c r="Y64" t="s">
        <v>235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 t="s">
        <v>234</v>
      </c>
      <c r="AH64" s="1">
        <f t="shared" si="6"/>
        <v>1</v>
      </c>
      <c r="AI64" s="1">
        <f t="shared" si="6"/>
        <v>1</v>
      </c>
      <c r="AJ64" s="1">
        <f t="shared" si="6"/>
        <v>0.25</v>
      </c>
      <c r="AK64" s="1">
        <f t="shared" si="6"/>
        <v>1</v>
      </c>
      <c r="AL64" s="1">
        <f t="shared" si="27"/>
        <v>0.75</v>
      </c>
      <c r="AM64" s="1">
        <f t="shared" si="8"/>
        <v>0</v>
      </c>
      <c r="AN64" s="1">
        <f t="shared" si="7"/>
        <v>7</v>
      </c>
      <c r="AO64" s="23" t="str">
        <f t="shared" si="5"/>
        <v>AI-ENABLED</v>
      </c>
    </row>
    <row r="65" spans="1:41" ht="30" customHeight="1" x14ac:dyDescent="0.3">
      <c r="A65" s="16" t="s">
        <v>79</v>
      </c>
      <c r="B65" s="8">
        <v>2</v>
      </c>
      <c r="C65" s="8">
        <v>2</v>
      </c>
      <c r="D65" s="8">
        <v>0</v>
      </c>
      <c r="E65" s="8">
        <v>2</v>
      </c>
      <c r="F65" s="8">
        <v>0</v>
      </c>
      <c r="G65" s="8">
        <v>0</v>
      </c>
      <c r="H65" s="9">
        <f t="shared" si="11"/>
        <v>12</v>
      </c>
      <c r="I65" s="10" t="str">
        <f t="shared" si="12"/>
        <v>AI-CORE</v>
      </c>
      <c r="J65" s="8">
        <v>2</v>
      </c>
      <c r="K65" s="8">
        <v>2</v>
      </c>
      <c r="L65" s="8">
        <v>0</v>
      </c>
      <c r="M65" s="8">
        <v>2</v>
      </c>
      <c r="N65" s="8">
        <v>1</v>
      </c>
      <c r="O65" s="8">
        <v>0</v>
      </c>
      <c r="P65" s="9">
        <f t="shared" si="13"/>
        <v>13</v>
      </c>
      <c r="Q65" s="10" t="str">
        <f t="shared" si="14"/>
        <v>AI-CORE</v>
      </c>
      <c r="R65">
        <v>2</v>
      </c>
      <c r="S65">
        <v>2</v>
      </c>
      <c r="T65">
        <v>0</v>
      </c>
      <c r="U65">
        <v>2</v>
      </c>
      <c r="V65">
        <v>0</v>
      </c>
      <c r="W65">
        <v>0</v>
      </c>
      <c r="X65">
        <v>12</v>
      </c>
      <c r="Y65" t="s">
        <v>235</v>
      </c>
      <c r="Z65" s="1">
        <v>0</v>
      </c>
      <c r="AA65" s="1">
        <v>0</v>
      </c>
      <c r="AB65" s="1">
        <v>0</v>
      </c>
      <c r="AC65" s="1">
        <v>2</v>
      </c>
      <c r="AD65" s="1">
        <v>0</v>
      </c>
      <c r="AE65" s="1">
        <v>0</v>
      </c>
      <c r="AF65" s="1">
        <v>4</v>
      </c>
      <c r="AG65" s="1" t="s">
        <v>233</v>
      </c>
      <c r="AH65" s="1">
        <f t="shared" si="6"/>
        <v>1.5</v>
      </c>
      <c r="AI65" s="1">
        <f t="shared" si="6"/>
        <v>1.5</v>
      </c>
      <c r="AJ65" s="1">
        <f t="shared" si="6"/>
        <v>0</v>
      </c>
      <c r="AK65" s="1">
        <f t="shared" si="6"/>
        <v>2</v>
      </c>
      <c r="AL65" s="1">
        <f t="shared" si="27"/>
        <v>0.25</v>
      </c>
      <c r="AM65" s="1">
        <f t="shared" si="8"/>
        <v>0</v>
      </c>
      <c r="AN65" s="1">
        <f t="shared" si="7"/>
        <v>10.25</v>
      </c>
      <c r="AO65" s="23" t="str">
        <f t="shared" si="5"/>
        <v>AI-ENABLED</v>
      </c>
    </row>
    <row r="66" spans="1:41" ht="30" customHeight="1" x14ac:dyDescent="0.3">
      <c r="A66" s="16" t="s">
        <v>164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9">
        <f t="shared" ref="H66:H97" si="28">B66*2+C66*2+D66+E66*2+F66+G66*2</f>
        <v>0</v>
      </c>
      <c r="I66" s="10" t="str">
        <f t="shared" ref="I66:I97" si="29">IF(H66="","",IF(H66&lt;=2,"DETERMINIST",IF(H66&lt;=6,"AI-ADJACENT",IF(H66&lt;=11,"AI-ENABLED",IF(H66&lt;=17,"AI-CORE","AI-NATIVE")))))</f>
        <v>DETERMINIST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9">
        <f t="shared" ref="P66:P97" si="30">J66*2+K66*2+L66+M66*2+N66+O66*2</f>
        <v>0</v>
      </c>
      <c r="Q66" s="10" t="str">
        <f t="shared" ref="Q66:Q97" si="31">IF(P66="","",IF(P66&lt;=2,"DETERMINIST",IF(P66&lt;=6,"AI-ADJACENT",IF(P66&lt;=11,"AI-ENABLED",IF(P66&lt;=17,"AI-CORE","AI-NATIVE")))))</f>
        <v>DETERMINIST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234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 t="s">
        <v>234</v>
      </c>
      <c r="AH66" s="1">
        <f t="shared" si="6"/>
        <v>0</v>
      </c>
      <c r="AI66" s="1">
        <f t="shared" si="6"/>
        <v>0</v>
      </c>
      <c r="AJ66" s="1">
        <f t="shared" si="6"/>
        <v>0</v>
      </c>
      <c r="AK66" s="1">
        <f t="shared" si="6"/>
        <v>0</v>
      </c>
      <c r="AL66" s="1">
        <f t="shared" si="27"/>
        <v>0</v>
      </c>
      <c r="AM66" s="1">
        <f t="shared" si="8"/>
        <v>0</v>
      </c>
      <c r="AN66" s="1">
        <f t="shared" si="7"/>
        <v>0</v>
      </c>
      <c r="AO66" s="23" t="str">
        <f t="shared" ref="AO66:AO129" si="32">IF(AN66="","",IF(AN66&lt;=2,"DETERMINIST",IF(AN66&lt;=6,"AI-ADJACENT",IF(AN66&lt;=11,"AI-ENABLED",IF(AN66&lt;=17,"AI-CORE","AI-NATIVE")))))</f>
        <v>DETERMINIST</v>
      </c>
    </row>
    <row r="67" spans="1:41" ht="30" customHeight="1" x14ac:dyDescent="0.3">
      <c r="A67" s="7" t="s">
        <v>30</v>
      </c>
      <c r="B67" s="8">
        <v>0</v>
      </c>
      <c r="C67" s="8">
        <v>2</v>
      </c>
      <c r="D67" s="8">
        <v>0</v>
      </c>
      <c r="E67" s="8">
        <v>2</v>
      </c>
      <c r="F67" s="8">
        <v>2</v>
      </c>
      <c r="G67" s="8">
        <v>2</v>
      </c>
      <c r="H67" s="9">
        <f t="shared" si="28"/>
        <v>14</v>
      </c>
      <c r="I67" s="10" t="str">
        <f t="shared" si="29"/>
        <v>AI-CORE</v>
      </c>
      <c r="J67" s="8">
        <v>0</v>
      </c>
      <c r="K67" s="8">
        <v>1</v>
      </c>
      <c r="L67" s="8">
        <v>0</v>
      </c>
      <c r="M67" s="8">
        <v>1</v>
      </c>
      <c r="N67" s="8">
        <v>2</v>
      </c>
      <c r="O67" s="8">
        <v>2</v>
      </c>
      <c r="P67" s="9">
        <f t="shared" si="30"/>
        <v>10</v>
      </c>
      <c r="Q67" s="10" t="str">
        <f t="shared" si="31"/>
        <v>AI-ENABLED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234</v>
      </c>
      <c r="Z67" s="1">
        <v>2</v>
      </c>
      <c r="AA67" s="1">
        <v>2</v>
      </c>
      <c r="AB67" s="1">
        <v>1</v>
      </c>
      <c r="AC67" s="1">
        <v>2</v>
      </c>
      <c r="AD67" s="1">
        <v>2</v>
      </c>
      <c r="AE67" s="1">
        <v>2</v>
      </c>
      <c r="AF67" s="1">
        <v>19</v>
      </c>
      <c r="AG67" s="1" t="s">
        <v>236</v>
      </c>
      <c r="AH67" s="1">
        <f t="shared" ref="AH67:AK130" si="33">AVERAGE(B67,J67,R67,Z67)</f>
        <v>0.5</v>
      </c>
      <c r="AI67" s="1">
        <f t="shared" si="33"/>
        <v>1.25</v>
      </c>
      <c r="AJ67" s="1">
        <f t="shared" si="33"/>
        <v>0.25</v>
      </c>
      <c r="AK67" s="1">
        <f t="shared" si="33"/>
        <v>1.25</v>
      </c>
      <c r="AL67" s="1">
        <f t="shared" si="27"/>
        <v>1.5</v>
      </c>
      <c r="AM67" s="1">
        <f t="shared" si="8"/>
        <v>1.5</v>
      </c>
      <c r="AN67" s="1">
        <f t="shared" ref="AN67:AN130" si="34">AH67*2+AI67*2+AJ67+AK67*2+AL67+AM67*2</f>
        <v>10.75</v>
      </c>
      <c r="AO67" s="23" t="str">
        <f t="shared" si="32"/>
        <v>AI-ENABLED</v>
      </c>
    </row>
    <row r="68" spans="1:41" ht="30" customHeight="1" x14ac:dyDescent="0.3">
      <c r="A68" s="14" t="s">
        <v>61</v>
      </c>
      <c r="B68" s="8">
        <v>2</v>
      </c>
      <c r="C68" s="8">
        <v>2</v>
      </c>
      <c r="D68" s="8">
        <v>0</v>
      </c>
      <c r="E68" s="8">
        <v>2</v>
      </c>
      <c r="F68" s="8">
        <v>2</v>
      </c>
      <c r="G68" s="8">
        <v>0</v>
      </c>
      <c r="H68" s="9">
        <f t="shared" si="28"/>
        <v>14</v>
      </c>
      <c r="I68" s="10" t="str">
        <f t="shared" si="29"/>
        <v>AI-CORE</v>
      </c>
      <c r="J68" s="8">
        <v>2</v>
      </c>
      <c r="K68" s="8">
        <v>2</v>
      </c>
      <c r="L68" s="8">
        <v>0</v>
      </c>
      <c r="M68" s="8">
        <v>2</v>
      </c>
      <c r="N68" s="8">
        <v>2</v>
      </c>
      <c r="O68" s="8">
        <v>1</v>
      </c>
      <c r="P68" s="9">
        <f t="shared" si="30"/>
        <v>16</v>
      </c>
      <c r="Q68" s="10" t="str">
        <f t="shared" si="31"/>
        <v>AI-CORE</v>
      </c>
      <c r="R68">
        <v>2</v>
      </c>
      <c r="S68">
        <v>2</v>
      </c>
      <c r="T68">
        <v>0</v>
      </c>
      <c r="U68">
        <v>2</v>
      </c>
      <c r="V68">
        <v>2</v>
      </c>
      <c r="W68">
        <v>0</v>
      </c>
      <c r="X68">
        <v>14</v>
      </c>
      <c r="Y68" t="s">
        <v>235</v>
      </c>
      <c r="Z68" s="1">
        <v>2</v>
      </c>
      <c r="AA68" s="1">
        <v>2</v>
      </c>
      <c r="AB68" s="1">
        <v>0</v>
      </c>
      <c r="AC68" s="1">
        <v>0</v>
      </c>
      <c r="AD68" s="1">
        <v>2</v>
      </c>
      <c r="AE68" s="1">
        <v>0</v>
      </c>
      <c r="AF68" s="1">
        <v>10</v>
      </c>
      <c r="AG68" s="1" t="s">
        <v>232</v>
      </c>
      <c r="AH68" s="1">
        <f t="shared" si="33"/>
        <v>2</v>
      </c>
      <c r="AI68" s="1">
        <f t="shared" si="33"/>
        <v>2</v>
      </c>
      <c r="AJ68" s="1">
        <f t="shared" si="33"/>
        <v>0</v>
      </c>
      <c r="AK68" s="1">
        <f t="shared" si="33"/>
        <v>1.5</v>
      </c>
      <c r="AL68" s="1">
        <f t="shared" si="27"/>
        <v>2</v>
      </c>
      <c r="AM68" s="1">
        <f t="shared" si="8"/>
        <v>0.25</v>
      </c>
      <c r="AN68" s="1">
        <f t="shared" si="34"/>
        <v>13.5</v>
      </c>
      <c r="AO68" s="23" t="str">
        <f t="shared" si="32"/>
        <v>AI-CORE</v>
      </c>
    </row>
    <row r="69" spans="1:41" ht="30" customHeight="1" x14ac:dyDescent="0.3">
      <c r="A69" s="15" t="s">
        <v>162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9">
        <f t="shared" si="28"/>
        <v>0</v>
      </c>
      <c r="I69" s="10" t="str">
        <f t="shared" si="29"/>
        <v>DETERMINIST</v>
      </c>
      <c r="J69" s="8">
        <v>0</v>
      </c>
      <c r="K69" s="8">
        <v>1</v>
      </c>
      <c r="L69" s="8">
        <v>0</v>
      </c>
      <c r="M69" s="8">
        <v>0</v>
      </c>
      <c r="N69" s="8">
        <v>0</v>
      </c>
      <c r="O69" s="8">
        <v>0</v>
      </c>
      <c r="P69" s="9">
        <f t="shared" si="30"/>
        <v>2</v>
      </c>
      <c r="Q69" s="10" t="str">
        <f t="shared" si="31"/>
        <v>DETERMINIST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2</v>
      </c>
      <c r="Y69" t="s">
        <v>234</v>
      </c>
      <c r="Z69" s="1">
        <v>0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>
        <v>2</v>
      </c>
      <c r="AG69" s="1" t="s">
        <v>234</v>
      </c>
      <c r="AH69" s="1">
        <f t="shared" si="33"/>
        <v>0</v>
      </c>
      <c r="AI69" s="1">
        <f t="shared" si="33"/>
        <v>0.75</v>
      </c>
      <c r="AJ69" s="1">
        <f t="shared" si="33"/>
        <v>0</v>
      </c>
      <c r="AK69" s="1">
        <f t="shared" si="33"/>
        <v>0</v>
      </c>
      <c r="AL69" s="1">
        <f t="shared" si="27"/>
        <v>0</v>
      </c>
      <c r="AM69" s="1">
        <f t="shared" si="8"/>
        <v>0</v>
      </c>
      <c r="AN69" s="1">
        <f t="shared" si="34"/>
        <v>1.5</v>
      </c>
      <c r="AO69" s="23" t="str">
        <f t="shared" si="32"/>
        <v>DETERMINIST</v>
      </c>
    </row>
    <row r="70" spans="1:41" ht="30" customHeight="1" x14ac:dyDescent="0.3">
      <c r="A70" s="17" t="s">
        <v>176</v>
      </c>
      <c r="B70" s="8">
        <v>0</v>
      </c>
      <c r="C70" s="8">
        <v>0</v>
      </c>
      <c r="D70" s="8">
        <v>0</v>
      </c>
      <c r="E70" s="8">
        <v>0</v>
      </c>
      <c r="F70" s="8">
        <v>1</v>
      </c>
      <c r="G70" s="8">
        <v>0</v>
      </c>
      <c r="H70" s="9">
        <f t="shared" si="28"/>
        <v>1</v>
      </c>
      <c r="I70" s="10" t="str">
        <f t="shared" si="29"/>
        <v>DETERMINIST</v>
      </c>
      <c r="J70" s="8">
        <v>0</v>
      </c>
      <c r="K70" s="8">
        <v>0</v>
      </c>
      <c r="L70" s="8">
        <v>0</v>
      </c>
      <c r="M70" s="8">
        <v>0</v>
      </c>
      <c r="N70" s="8">
        <v>1</v>
      </c>
      <c r="O70" s="8">
        <v>0</v>
      </c>
      <c r="P70" s="9">
        <f t="shared" si="30"/>
        <v>1</v>
      </c>
      <c r="Q70" s="10" t="str">
        <f t="shared" si="31"/>
        <v>DETERMINIST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234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 t="s">
        <v>234</v>
      </c>
      <c r="AH70" s="1">
        <f t="shared" si="33"/>
        <v>0</v>
      </c>
      <c r="AI70" s="1">
        <f t="shared" si="33"/>
        <v>0</v>
      </c>
      <c r="AJ70" s="1">
        <f t="shared" si="33"/>
        <v>0</v>
      </c>
      <c r="AK70" s="1">
        <f t="shared" si="33"/>
        <v>0</v>
      </c>
      <c r="AL70" s="1">
        <f t="shared" si="27"/>
        <v>0.5</v>
      </c>
      <c r="AM70" s="1">
        <f t="shared" si="8"/>
        <v>0</v>
      </c>
      <c r="AN70" s="1">
        <f t="shared" si="34"/>
        <v>0.5</v>
      </c>
      <c r="AO70" s="23" t="str">
        <f t="shared" si="32"/>
        <v>DETERMINIST</v>
      </c>
    </row>
    <row r="71" spans="1:41" ht="30" customHeight="1" x14ac:dyDescent="0.3">
      <c r="A71" s="21" t="s">
        <v>208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9">
        <f t="shared" si="28"/>
        <v>0</v>
      </c>
      <c r="I71" s="10" t="str">
        <f t="shared" si="29"/>
        <v>DETERMINIST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9">
        <f t="shared" si="30"/>
        <v>0</v>
      </c>
      <c r="Q71" s="10" t="str">
        <f t="shared" si="31"/>
        <v>DETERMINIST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234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 t="s">
        <v>234</v>
      </c>
      <c r="AH71" s="1">
        <f t="shared" si="33"/>
        <v>0</v>
      </c>
      <c r="AI71" s="1">
        <f t="shared" si="33"/>
        <v>0</v>
      </c>
      <c r="AJ71" s="1">
        <f t="shared" si="33"/>
        <v>0</v>
      </c>
      <c r="AK71" s="1">
        <f t="shared" si="33"/>
        <v>0</v>
      </c>
      <c r="AL71" s="1">
        <f t="shared" si="27"/>
        <v>0</v>
      </c>
      <c r="AM71" s="1">
        <f t="shared" si="8"/>
        <v>0</v>
      </c>
      <c r="AN71" s="1">
        <f t="shared" si="34"/>
        <v>0</v>
      </c>
      <c r="AO71" s="23" t="str">
        <f t="shared" si="32"/>
        <v>DETERMINIST</v>
      </c>
    </row>
    <row r="72" spans="1:41" ht="30" customHeight="1" x14ac:dyDescent="0.3">
      <c r="A72" s="12" t="s">
        <v>136</v>
      </c>
      <c r="B72" s="8">
        <v>2</v>
      </c>
      <c r="C72" s="8">
        <v>2</v>
      </c>
      <c r="D72" s="8">
        <v>0</v>
      </c>
      <c r="E72" s="8">
        <v>2</v>
      </c>
      <c r="F72" s="8">
        <v>1</v>
      </c>
      <c r="G72" s="8">
        <v>1</v>
      </c>
      <c r="H72" s="9">
        <f t="shared" si="28"/>
        <v>15</v>
      </c>
      <c r="I72" s="10" t="str">
        <f t="shared" si="29"/>
        <v>AI-CORE</v>
      </c>
      <c r="J72" s="8">
        <v>1</v>
      </c>
      <c r="K72" s="8">
        <v>1</v>
      </c>
      <c r="L72" s="8">
        <v>1</v>
      </c>
      <c r="M72" s="8">
        <v>1</v>
      </c>
      <c r="N72" s="8">
        <v>0</v>
      </c>
      <c r="O72" s="8">
        <v>0</v>
      </c>
      <c r="P72" s="9">
        <f t="shared" si="30"/>
        <v>7</v>
      </c>
      <c r="Q72" s="10" t="str">
        <f t="shared" si="31"/>
        <v>AI-ENABLED</v>
      </c>
      <c r="R72">
        <v>2</v>
      </c>
      <c r="S72">
        <v>1</v>
      </c>
      <c r="T72">
        <v>2</v>
      </c>
      <c r="U72">
        <v>1</v>
      </c>
      <c r="V72">
        <v>1</v>
      </c>
      <c r="W72">
        <v>0</v>
      </c>
      <c r="X72">
        <v>11</v>
      </c>
      <c r="Y72" t="s">
        <v>232</v>
      </c>
      <c r="Z72" s="1">
        <v>0</v>
      </c>
      <c r="AA72" s="1">
        <v>1</v>
      </c>
      <c r="AB72" s="1">
        <v>0</v>
      </c>
      <c r="AC72" s="1">
        <v>1</v>
      </c>
      <c r="AD72" s="1">
        <v>0</v>
      </c>
      <c r="AE72" s="1">
        <v>0</v>
      </c>
      <c r="AF72" s="1">
        <v>4</v>
      </c>
      <c r="AG72" s="1" t="s">
        <v>233</v>
      </c>
      <c r="AH72" s="1">
        <f t="shared" si="33"/>
        <v>1.25</v>
      </c>
      <c r="AI72" s="1">
        <f t="shared" si="33"/>
        <v>1.25</v>
      </c>
      <c r="AJ72" s="1">
        <f t="shared" si="33"/>
        <v>0.75</v>
      </c>
      <c r="AK72" s="1">
        <f t="shared" si="33"/>
        <v>1.25</v>
      </c>
      <c r="AL72" s="1">
        <f t="shared" si="27"/>
        <v>0.5</v>
      </c>
      <c r="AM72" s="1">
        <f t="shared" si="8"/>
        <v>0.25</v>
      </c>
      <c r="AN72" s="1">
        <f t="shared" si="34"/>
        <v>9.25</v>
      </c>
      <c r="AO72" s="23" t="str">
        <f t="shared" si="32"/>
        <v>AI-ENABLED</v>
      </c>
    </row>
    <row r="73" spans="1:41" ht="30" customHeight="1" x14ac:dyDescent="0.3">
      <c r="A73" s="13" t="s">
        <v>54</v>
      </c>
      <c r="B73" s="8">
        <v>0</v>
      </c>
      <c r="C73" s="8">
        <v>2</v>
      </c>
      <c r="D73" s="8">
        <v>0</v>
      </c>
      <c r="E73" s="8">
        <v>2</v>
      </c>
      <c r="F73" s="8">
        <v>2</v>
      </c>
      <c r="G73" s="8">
        <v>2</v>
      </c>
      <c r="H73" s="9">
        <f t="shared" si="28"/>
        <v>14</v>
      </c>
      <c r="I73" s="10" t="str">
        <f t="shared" si="29"/>
        <v>AI-CORE</v>
      </c>
      <c r="J73" s="8">
        <v>2</v>
      </c>
      <c r="K73" s="8">
        <v>2</v>
      </c>
      <c r="L73" s="8">
        <v>0</v>
      </c>
      <c r="M73" s="8">
        <v>2</v>
      </c>
      <c r="N73" s="8">
        <v>2</v>
      </c>
      <c r="O73" s="8">
        <v>2</v>
      </c>
      <c r="P73" s="9">
        <f t="shared" si="30"/>
        <v>18</v>
      </c>
      <c r="Q73" s="10" t="str">
        <f t="shared" si="31"/>
        <v>AI-NATIVE</v>
      </c>
      <c r="R73">
        <v>0</v>
      </c>
      <c r="S73">
        <v>2</v>
      </c>
      <c r="T73">
        <v>1</v>
      </c>
      <c r="U73">
        <v>0</v>
      </c>
      <c r="V73">
        <v>1</v>
      </c>
      <c r="W73">
        <v>2</v>
      </c>
      <c r="X73">
        <v>10</v>
      </c>
      <c r="Y73" t="s">
        <v>232</v>
      </c>
      <c r="Z73" s="1">
        <v>2</v>
      </c>
      <c r="AA73" s="1">
        <v>2</v>
      </c>
      <c r="AB73" s="1">
        <v>0</v>
      </c>
      <c r="AC73" s="1">
        <v>2</v>
      </c>
      <c r="AD73" s="1">
        <v>2</v>
      </c>
      <c r="AE73" s="1">
        <v>2</v>
      </c>
      <c r="AF73" s="1">
        <v>18</v>
      </c>
      <c r="AG73" s="1" t="s">
        <v>236</v>
      </c>
      <c r="AH73" s="1">
        <f t="shared" si="33"/>
        <v>1</v>
      </c>
      <c r="AI73" s="1">
        <f t="shared" si="33"/>
        <v>2</v>
      </c>
      <c r="AJ73" s="1">
        <f t="shared" si="33"/>
        <v>0.25</v>
      </c>
      <c r="AK73" s="1">
        <f t="shared" si="33"/>
        <v>1.5</v>
      </c>
      <c r="AL73" s="1">
        <f t="shared" si="27"/>
        <v>1.75</v>
      </c>
      <c r="AM73" s="1">
        <f t="shared" si="8"/>
        <v>2</v>
      </c>
      <c r="AN73" s="1">
        <f t="shared" si="34"/>
        <v>15</v>
      </c>
      <c r="AO73" s="23" t="str">
        <f t="shared" si="32"/>
        <v>AI-CORE</v>
      </c>
    </row>
    <row r="74" spans="1:41" ht="30" customHeight="1" x14ac:dyDescent="0.3">
      <c r="A74" s="7" t="s">
        <v>21</v>
      </c>
      <c r="B74" s="8">
        <v>1</v>
      </c>
      <c r="C74" s="8">
        <v>2</v>
      </c>
      <c r="D74" s="8">
        <v>0</v>
      </c>
      <c r="E74" s="8">
        <v>2</v>
      </c>
      <c r="F74" s="8">
        <v>2</v>
      </c>
      <c r="G74" s="8">
        <v>2</v>
      </c>
      <c r="H74" s="9">
        <f t="shared" si="28"/>
        <v>16</v>
      </c>
      <c r="I74" s="10" t="str">
        <f t="shared" si="29"/>
        <v>AI-CORE</v>
      </c>
      <c r="J74" s="8">
        <v>1</v>
      </c>
      <c r="K74" s="8">
        <v>2</v>
      </c>
      <c r="L74" s="8">
        <v>0</v>
      </c>
      <c r="M74" s="8">
        <v>2</v>
      </c>
      <c r="N74" s="8">
        <v>2</v>
      </c>
      <c r="O74" s="8">
        <v>2</v>
      </c>
      <c r="P74" s="9">
        <f t="shared" si="30"/>
        <v>16</v>
      </c>
      <c r="Q74" s="10" t="str">
        <f t="shared" si="31"/>
        <v>AI-CORE</v>
      </c>
      <c r="R74">
        <v>2</v>
      </c>
      <c r="S74">
        <v>2</v>
      </c>
      <c r="T74">
        <v>0</v>
      </c>
      <c r="U74">
        <v>2</v>
      </c>
      <c r="V74">
        <v>2</v>
      </c>
      <c r="W74">
        <v>0</v>
      </c>
      <c r="X74">
        <v>14</v>
      </c>
      <c r="Y74" t="s">
        <v>235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 t="s">
        <v>234</v>
      </c>
      <c r="AH74" s="1">
        <f t="shared" si="33"/>
        <v>1</v>
      </c>
      <c r="AI74" s="1">
        <f t="shared" si="33"/>
        <v>1.5</v>
      </c>
      <c r="AJ74" s="1">
        <f t="shared" si="33"/>
        <v>0</v>
      </c>
      <c r="AK74" s="1">
        <f t="shared" si="33"/>
        <v>1.5</v>
      </c>
      <c r="AL74" s="1">
        <f t="shared" si="27"/>
        <v>1.5</v>
      </c>
      <c r="AM74" s="1">
        <f t="shared" si="8"/>
        <v>1</v>
      </c>
      <c r="AN74" s="1">
        <f t="shared" si="34"/>
        <v>11.5</v>
      </c>
      <c r="AO74" s="23" t="str">
        <f t="shared" si="32"/>
        <v>AI-CORE</v>
      </c>
    </row>
    <row r="75" spans="1:41" ht="30" customHeight="1" x14ac:dyDescent="0.3">
      <c r="A75" s="11" t="s">
        <v>126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9">
        <f t="shared" si="28"/>
        <v>0</v>
      </c>
      <c r="I75" s="10" t="str">
        <f t="shared" si="29"/>
        <v>DETERMINIST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9">
        <f t="shared" si="30"/>
        <v>0</v>
      </c>
      <c r="Q75" s="10" t="str">
        <f t="shared" si="31"/>
        <v>DETERMINIST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234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 t="s">
        <v>234</v>
      </c>
      <c r="AH75" s="1">
        <f t="shared" si="33"/>
        <v>0</v>
      </c>
      <c r="AI75" s="1">
        <f t="shared" si="33"/>
        <v>0</v>
      </c>
      <c r="AJ75" s="1">
        <f t="shared" si="33"/>
        <v>0</v>
      </c>
      <c r="AK75" s="1">
        <f t="shared" si="33"/>
        <v>0</v>
      </c>
      <c r="AL75" s="1">
        <f t="shared" si="27"/>
        <v>0</v>
      </c>
      <c r="AM75" s="1">
        <f t="shared" si="8"/>
        <v>0</v>
      </c>
      <c r="AN75" s="1">
        <f t="shared" si="34"/>
        <v>0</v>
      </c>
      <c r="AO75" s="23" t="str">
        <f t="shared" si="32"/>
        <v>DETERMINIST</v>
      </c>
    </row>
    <row r="76" spans="1:41" ht="30" customHeight="1" x14ac:dyDescent="0.3">
      <c r="A76" s="11" t="s">
        <v>131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9">
        <f t="shared" si="28"/>
        <v>0</v>
      </c>
      <c r="I76" s="10" t="str">
        <f t="shared" si="29"/>
        <v>DETERMINIST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9">
        <f t="shared" si="30"/>
        <v>0</v>
      </c>
      <c r="Q76" s="10" t="str">
        <f t="shared" si="31"/>
        <v>DETERMINIST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3</v>
      </c>
      <c r="Y76" t="s">
        <v>233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 t="s">
        <v>234</v>
      </c>
      <c r="AH76" s="1">
        <f t="shared" si="33"/>
        <v>0</v>
      </c>
      <c r="AI76" s="1">
        <f t="shared" si="33"/>
        <v>0.25</v>
      </c>
      <c r="AJ76" s="1">
        <f t="shared" si="33"/>
        <v>0</v>
      </c>
      <c r="AK76" s="1">
        <f t="shared" si="33"/>
        <v>0</v>
      </c>
      <c r="AL76" s="1">
        <f t="shared" si="27"/>
        <v>0.25</v>
      </c>
      <c r="AM76" s="1">
        <f t="shared" si="8"/>
        <v>0</v>
      </c>
      <c r="AN76" s="1">
        <f t="shared" si="34"/>
        <v>0.75</v>
      </c>
      <c r="AO76" s="23" t="str">
        <f t="shared" si="32"/>
        <v>DETERMINIST</v>
      </c>
    </row>
    <row r="77" spans="1:41" ht="30" customHeight="1" x14ac:dyDescent="0.3">
      <c r="A77" s="15" t="s">
        <v>73</v>
      </c>
      <c r="B77" s="8">
        <v>2</v>
      </c>
      <c r="C77" s="8">
        <v>2</v>
      </c>
      <c r="D77" s="8">
        <v>0</v>
      </c>
      <c r="E77" s="8">
        <v>2</v>
      </c>
      <c r="F77" s="8">
        <v>1</v>
      </c>
      <c r="G77" s="8">
        <v>1</v>
      </c>
      <c r="H77" s="9">
        <f t="shared" si="28"/>
        <v>15</v>
      </c>
      <c r="I77" s="10" t="str">
        <f t="shared" si="29"/>
        <v>AI-CORE</v>
      </c>
      <c r="J77" s="8">
        <v>2</v>
      </c>
      <c r="K77" s="8">
        <v>2</v>
      </c>
      <c r="L77" s="8">
        <v>0</v>
      </c>
      <c r="M77" s="8">
        <v>2</v>
      </c>
      <c r="N77" s="8">
        <v>2</v>
      </c>
      <c r="O77" s="8">
        <v>1</v>
      </c>
      <c r="P77" s="9">
        <f t="shared" si="30"/>
        <v>16</v>
      </c>
      <c r="Q77" s="10" t="str">
        <f t="shared" si="31"/>
        <v>AI-CORE</v>
      </c>
      <c r="R77">
        <v>2</v>
      </c>
      <c r="S77">
        <v>2</v>
      </c>
      <c r="T77">
        <v>0</v>
      </c>
      <c r="U77">
        <v>2</v>
      </c>
      <c r="V77">
        <v>1</v>
      </c>
      <c r="W77">
        <v>0</v>
      </c>
      <c r="X77">
        <v>13</v>
      </c>
      <c r="Y77" t="s">
        <v>235</v>
      </c>
      <c r="Z77" s="1">
        <v>0</v>
      </c>
      <c r="AA77" s="1">
        <v>0</v>
      </c>
      <c r="AB77" s="1">
        <v>0</v>
      </c>
      <c r="AC77" s="1">
        <v>2</v>
      </c>
      <c r="AD77" s="1">
        <v>0</v>
      </c>
      <c r="AE77" s="1">
        <v>0</v>
      </c>
      <c r="AF77" s="1">
        <v>4</v>
      </c>
      <c r="AG77" s="1" t="s">
        <v>233</v>
      </c>
      <c r="AH77" s="1">
        <f t="shared" si="33"/>
        <v>1.5</v>
      </c>
      <c r="AI77" s="1">
        <f t="shared" si="33"/>
        <v>1.5</v>
      </c>
      <c r="AJ77" s="1">
        <f t="shared" si="33"/>
        <v>0</v>
      </c>
      <c r="AK77" s="1">
        <f t="shared" si="33"/>
        <v>2</v>
      </c>
      <c r="AL77" s="1">
        <f t="shared" si="27"/>
        <v>1</v>
      </c>
      <c r="AM77" s="1">
        <f t="shared" si="8"/>
        <v>0.5</v>
      </c>
      <c r="AN77" s="1">
        <f t="shared" si="34"/>
        <v>12</v>
      </c>
      <c r="AO77" s="23" t="str">
        <f t="shared" si="32"/>
        <v>AI-CORE</v>
      </c>
    </row>
    <row r="78" spans="1:41" ht="30" customHeight="1" x14ac:dyDescent="0.3">
      <c r="A78" s="19" t="s">
        <v>99</v>
      </c>
      <c r="B78" s="8">
        <v>1</v>
      </c>
      <c r="C78" s="8">
        <v>1</v>
      </c>
      <c r="D78" s="8">
        <v>2</v>
      </c>
      <c r="E78" s="8">
        <v>1</v>
      </c>
      <c r="F78" s="8">
        <v>2</v>
      </c>
      <c r="G78" s="8">
        <v>1</v>
      </c>
      <c r="H78" s="9">
        <f t="shared" si="28"/>
        <v>12</v>
      </c>
      <c r="I78" s="10" t="str">
        <f t="shared" si="29"/>
        <v>AI-CORE</v>
      </c>
      <c r="J78" s="8">
        <v>0</v>
      </c>
      <c r="K78" s="8">
        <v>0</v>
      </c>
      <c r="L78" s="8">
        <v>0</v>
      </c>
      <c r="M78" s="8">
        <v>0</v>
      </c>
      <c r="N78" s="8">
        <v>1</v>
      </c>
      <c r="O78" s="8">
        <v>0</v>
      </c>
      <c r="P78" s="9">
        <f t="shared" si="30"/>
        <v>1</v>
      </c>
      <c r="Q78" s="10" t="str">
        <f t="shared" si="31"/>
        <v>DETERMINIST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234</v>
      </c>
      <c r="Z78" s="1">
        <v>0</v>
      </c>
      <c r="AA78" s="1">
        <v>0</v>
      </c>
      <c r="AB78" s="1">
        <v>0</v>
      </c>
      <c r="AC78" s="1">
        <v>0</v>
      </c>
      <c r="AD78" s="1">
        <v>2</v>
      </c>
      <c r="AE78" s="1">
        <v>0</v>
      </c>
      <c r="AF78" s="1">
        <v>2</v>
      </c>
      <c r="AG78" s="1" t="s">
        <v>234</v>
      </c>
      <c r="AH78" s="1">
        <f t="shared" si="33"/>
        <v>0.25</v>
      </c>
      <c r="AI78" s="1">
        <f t="shared" si="33"/>
        <v>0.25</v>
      </c>
      <c r="AJ78" s="1">
        <f t="shared" si="33"/>
        <v>0.5</v>
      </c>
      <c r="AK78" s="1">
        <f t="shared" si="33"/>
        <v>0.25</v>
      </c>
      <c r="AL78" s="1">
        <f t="shared" si="27"/>
        <v>1.25</v>
      </c>
      <c r="AM78" s="1">
        <f t="shared" si="8"/>
        <v>0.25</v>
      </c>
      <c r="AN78" s="1">
        <f t="shared" si="34"/>
        <v>3.75</v>
      </c>
      <c r="AO78" s="23" t="str">
        <f t="shared" si="32"/>
        <v>AI-ADJACENT</v>
      </c>
    </row>
    <row r="79" spans="1:41" ht="30" customHeight="1" x14ac:dyDescent="0.3">
      <c r="A79" s="12" t="s">
        <v>43</v>
      </c>
      <c r="B79" s="8">
        <v>2</v>
      </c>
      <c r="C79" s="8">
        <v>2</v>
      </c>
      <c r="D79" s="8">
        <v>0</v>
      </c>
      <c r="E79" s="8">
        <v>2</v>
      </c>
      <c r="F79" s="8">
        <v>2</v>
      </c>
      <c r="G79" s="8">
        <v>2</v>
      </c>
      <c r="H79" s="9">
        <f t="shared" si="28"/>
        <v>18</v>
      </c>
      <c r="I79" s="10" t="str">
        <f t="shared" si="29"/>
        <v>AI-NATIVE</v>
      </c>
      <c r="J79" s="8">
        <v>2</v>
      </c>
      <c r="K79" s="8">
        <v>2</v>
      </c>
      <c r="L79" s="8">
        <v>0</v>
      </c>
      <c r="M79" s="8">
        <v>2</v>
      </c>
      <c r="N79" s="8">
        <v>2</v>
      </c>
      <c r="O79" s="8">
        <v>2</v>
      </c>
      <c r="P79" s="9">
        <f t="shared" si="30"/>
        <v>18</v>
      </c>
      <c r="Q79" s="10" t="str">
        <f t="shared" si="31"/>
        <v>AI-NATIVE</v>
      </c>
      <c r="R79">
        <v>0</v>
      </c>
      <c r="S79">
        <v>2</v>
      </c>
      <c r="T79">
        <v>0</v>
      </c>
      <c r="U79">
        <v>2</v>
      </c>
      <c r="V79">
        <v>2</v>
      </c>
      <c r="W79">
        <v>2</v>
      </c>
      <c r="X79">
        <v>14</v>
      </c>
      <c r="Y79" t="s">
        <v>235</v>
      </c>
      <c r="Z79" s="1">
        <v>2</v>
      </c>
      <c r="AA79" s="1">
        <v>2</v>
      </c>
      <c r="AB79" s="1">
        <v>2</v>
      </c>
      <c r="AC79" s="1">
        <v>2</v>
      </c>
      <c r="AD79" s="1">
        <v>2</v>
      </c>
      <c r="AE79" s="1">
        <v>2</v>
      </c>
      <c r="AF79" s="9">
        <f t="shared" ref="AF79" si="35">Z79*2+AA79*2+AB79+AC79*2+AD79+AE79*2</f>
        <v>20</v>
      </c>
      <c r="AG79" s="10" t="str">
        <f t="shared" ref="AG79" si="36">IF(AF79="","",IF(AF79&lt;=2,"DETERMINIST",IF(AF79&lt;=6,"AI-ADJACENT",IF(AF79&lt;=11,"AI-ENABLED",IF(AF79&lt;=17,"AI-CORE","AI-NATIVE")))))</f>
        <v>AI-NATIVE</v>
      </c>
      <c r="AH79" s="1">
        <f t="shared" si="33"/>
        <v>1.5</v>
      </c>
      <c r="AI79" s="1">
        <f t="shared" si="33"/>
        <v>2</v>
      </c>
      <c r="AJ79" s="1">
        <f t="shared" si="33"/>
        <v>0.5</v>
      </c>
      <c r="AK79" s="1">
        <f t="shared" si="33"/>
        <v>2</v>
      </c>
      <c r="AL79" s="1">
        <f t="shared" si="27"/>
        <v>2</v>
      </c>
      <c r="AM79" s="1">
        <f t="shared" si="8"/>
        <v>2</v>
      </c>
      <c r="AN79" s="1">
        <f t="shared" si="34"/>
        <v>17.5</v>
      </c>
      <c r="AO79" s="23" t="str">
        <f t="shared" si="32"/>
        <v>AI-NATIVE</v>
      </c>
    </row>
    <row r="80" spans="1:41" ht="30" customHeight="1" x14ac:dyDescent="0.3">
      <c r="A80" s="16" t="s">
        <v>82</v>
      </c>
      <c r="B80" s="8">
        <v>2</v>
      </c>
      <c r="C80" s="8">
        <v>2</v>
      </c>
      <c r="D80" s="8">
        <v>0</v>
      </c>
      <c r="E80" s="8">
        <v>2</v>
      </c>
      <c r="F80" s="8">
        <v>2</v>
      </c>
      <c r="G80" s="8">
        <v>2</v>
      </c>
      <c r="H80" s="9">
        <f t="shared" si="28"/>
        <v>18</v>
      </c>
      <c r="I80" s="10" t="str">
        <f t="shared" si="29"/>
        <v>AI-NATIVE</v>
      </c>
      <c r="J80" s="8">
        <v>2</v>
      </c>
      <c r="K80" s="8">
        <v>2</v>
      </c>
      <c r="L80" s="8">
        <v>0</v>
      </c>
      <c r="M80" s="8">
        <v>2</v>
      </c>
      <c r="N80" s="8">
        <v>2</v>
      </c>
      <c r="O80" s="8">
        <v>1</v>
      </c>
      <c r="P80" s="9">
        <f t="shared" si="30"/>
        <v>16</v>
      </c>
      <c r="Q80" s="10" t="str">
        <f t="shared" si="31"/>
        <v>AI-CORE</v>
      </c>
      <c r="R80">
        <v>0</v>
      </c>
      <c r="S80">
        <v>2</v>
      </c>
      <c r="T80">
        <v>0</v>
      </c>
      <c r="U80">
        <v>2</v>
      </c>
      <c r="V80">
        <v>1</v>
      </c>
      <c r="W80">
        <v>2</v>
      </c>
      <c r="X80">
        <v>13</v>
      </c>
      <c r="Y80" t="s">
        <v>235</v>
      </c>
      <c r="Z80" s="1">
        <v>0</v>
      </c>
      <c r="AA80" s="1">
        <v>0</v>
      </c>
      <c r="AB80" s="1">
        <v>1</v>
      </c>
      <c r="AC80" s="1">
        <v>0</v>
      </c>
      <c r="AD80" s="1">
        <v>0</v>
      </c>
      <c r="AE80" s="1">
        <v>0</v>
      </c>
      <c r="AF80" s="1">
        <v>1</v>
      </c>
      <c r="AG80" s="1" t="s">
        <v>234</v>
      </c>
      <c r="AH80" s="1">
        <f t="shared" si="33"/>
        <v>1</v>
      </c>
      <c r="AI80" s="1">
        <f t="shared" si="33"/>
        <v>1.5</v>
      </c>
      <c r="AJ80" s="1">
        <f t="shared" si="33"/>
        <v>0.25</v>
      </c>
      <c r="AK80" s="1">
        <f t="shared" si="33"/>
        <v>1.5</v>
      </c>
      <c r="AL80" s="1">
        <f t="shared" si="27"/>
        <v>1.25</v>
      </c>
      <c r="AM80" s="1">
        <f t="shared" si="8"/>
        <v>1.25</v>
      </c>
      <c r="AN80" s="1">
        <f t="shared" si="34"/>
        <v>12</v>
      </c>
      <c r="AO80" s="23" t="str">
        <f t="shared" si="32"/>
        <v>AI-CORE</v>
      </c>
    </row>
    <row r="81" spans="1:41" ht="30" customHeight="1" x14ac:dyDescent="0.3">
      <c r="A81" s="21" t="s">
        <v>203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9">
        <f t="shared" si="28"/>
        <v>0</v>
      </c>
      <c r="I81" s="10" t="str">
        <f t="shared" si="29"/>
        <v>DETERMINIST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9">
        <f t="shared" si="30"/>
        <v>0</v>
      </c>
      <c r="Q81" s="10" t="str">
        <f t="shared" si="31"/>
        <v>DETERMINIST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234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 t="s">
        <v>234</v>
      </c>
      <c r="AH81" s="1">
        <f t="shared" si="33"/>
        <v>0</v>
      </c>
      <c r="AI81" s="1">
        <f t="shared" si="33"/>
        <v>0</v>
      </c>
      <c r="AJ81" s="1">
        <f t="shared" si="33"/>
        <v>0</v>
      </c>
      <c r="AK81" s="1">
        <f t="shared" si="33"/>
        <v>0</v>
      </c>
      <c r="AL81" s="1">
        <f t="shared" si="27"/>
        <v>0</v>
      </c>
      <c r="AM81" s="1">
        <f t="shared" si="8"/>
        <v>0</v>
      </c>
      <c r="AN81" s="1">
        <f t="shared" si="34"/>
        <v>0</v>
      </c>
      <c r="AO81" s="23" t="str">
        <f t="shared" si="32"/>
        <v>DETERMINIST</v>
      </c>
    </row>
    <row r="82" spans="1:41" ht="30" customHeight="1" x14ac:dyDescent="0.3">
      <c r="A82" s="21" t="s">
        <v>205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9">
        <f t="shared" si="28"/>
        <v>0</v>
      </c>
      <c r="I82" s="10" t="str">
        <f t="shared" si="29"/>
        <v>DETERMINIST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9">
        <f t="shared" si="30"/>
        <v>0</v>
      </c>
      <c r="Q82" s="10" t="str">
        <f t="shared" si="31"/>
        <v>DETERMINIST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 t="s">
        <v>234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 t="s">
        <v>234</v>
      </c>
      <c r="AH82" s="1">
        <f t="shared" si="33"/>
        <v>0</v>
      </c>
      <c r="AI82" s="1">
        <f t="shared" si="33"/>
        <v>0</v>
      </c>
      <c r="AJ82" s="1">
        <f t="shared" si="33"/>
        <v>0.25</v>
      </c>
      <c r="AK82" s="1">
        <f t="shared" si="33"/>
        <v>0</v>
      </c>
      <c r="AL82" s="1">
        <f t="shared" si="27"/>
        <v>0</v>
      </c>
      <c r="AM82" s="1">
        <f t="shared" si="27"/>
        <v>0</v>
      </c>
      <c r="AN82" s="1">
        <f t="shared" si="34"/>
        <v>0.25</v>
      </c>
      <c r="AO82" s="23" t="str">
        <f t="shared" si="32"/>
        <v>DETERMINIST</v>
      </c>
    </row>
    <row r="83" spans="1:41" ht="30" customHeight="1" x14ac:dyDescent="0.3">
      <c r="A83" s="15" t="s">
        <v>159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9">
        <f t="shared" si="28"/>
        <v>0</v>
      </c>
      <c r="I83" s="10" t="str">
        <f t="shared" si="29"/>
        <v>DETERMINIST</v>
      </c>
      <c r="J83" s="8">
        <v>0</v>
      </c>
      <c r="K83" s="8">
        <v>1</v>
      </c>
      <c r="L83" s="8">
        <v>0</v>
      </c>
      <c r="M83" s="8">
        <v>0</v>
      </c>
      <c r="N83" s="8">
        <v>0</v>
      </c>
      <c r="O83" s="8">
        <v>0</v>
      </c>
      <c r="P83" s="9">
        <f t="shared" si="30"/>
        <v>2</v>
      </c>
      <c r="Q83" s="10" t="str">
        <f t="shared" si="31"/>
        <v>DETERMINIST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2</v>
      </c>
      <c r="Y83" t="s">
        <v>234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 t="s">
        <v>234</v>
      </c>
      <c r="AH83" s="1">
        <f t="shared" si="33"/>
        <v>0</v>
      </c>
      <c r="AI83" s="1">
        <f t="shared" si="33"/>
        <v>0.5</v>
      </c>
      <c r="AJ83" s="1">
        <f t="shared" si="33"/>
        <v>0</v>
      </c>
      <c r="AK83" s="1">
        <f t="shared" si="33"/>
        <v>0</v>
      </c>
      <c r="AL83" s="1">
        <f t="shared" si="27"/>
        <v>0</v>
      </c>
      <c r="AM83" s="1">
        <f t="shared" si="27"/>
        <v>0</v>
      </c>
      <c r="AN83" s="1">
        <f t="shared" si="34"/>
        <v>1</v>
      </c>
      <c r="AO83" s="23" t="str">
        <f t="shared" si="32"/>
        <v>DETERMINIST</v>
      </c>
    </row>
    <row r="84" spans="1:41" ht="30" customHeight="1" x14ac:dyDescent="0.3">
      <c r="A84" s="20" t="s">
        <v>201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9">
        <f t="shared" si="28"/>
        <v>0</v>
      </c>
      <c r="I84" s="10" t="str">
        <f t="shared" si="29"/>
        <v>DETERMINIST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9">
        <f t="shared" si="30"/>
        <v>0</v>
      </c>
      <c r="Q84" s="10" t="str">
        <f t="shared" si="31"/>
        <v>DETERMINIST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234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 t="s">
        <v>234</v>
      </c>
      <c r="AH84" s="1">
        <f t="shared" si="33"/>
        <v>0</v>
      </c>
      <c r="AI84" s="1">
        <f t="shared" si="33"/>
        <v>0</v>
      </c>
      <c r="AJ84" s="1">
        <f t="shared" si="33"/>
        <v>0</v>
      </c>
      <c r="AK84" s="1">
        <f t="shared" si="33"/>
        <v>0</v>
      </c>
      <c r="AL84" s="1">
        <f t="shared" si="27"/>
        <v>0</v>
      </c>
      <c r="AM84" s="1">
        <f t="shared" si="27"/>
        <v>0</v>
      </c>
      <c r="AN84" s="1">
        <f t="shared" si="34"/>
        <v>0</v>
      </c>
      <c r="AO84" s="23" t="str">
        <f t="shared" si="32"/>
        <v>DETERMINIST</v>
      </c>
    </row>
    <row r="85" spans="1:41" ht="30" customHeight="1" x14ac:dyDescent="0.3">
      <c r="A85" s="16" t="s">
        <v>163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9">
        <f t="shared" si="28"/>
        <v>0</v>
      </c>
      <c r="I85" s="10" t="str">
        <f t="shared" si="29"/>
        <v>DETERMINIST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9">
        <f t="shared" si="30"/>
        <v>0</v>
      </c>
      <c r="Q85" s="10" t="str">
        <f t="shared" si="31"/>
        <v>DETERMINIST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234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 t="s">
        <v>234</v>
      </c>
      <c r="AH85" s="1">
        <f t="shared" si="33"/>
        <v>0</v>
      </c>
      <c r="AI85" s="1">
        <f t="shared" si="33"/>
        <v>0</v>
      </c>
      <c r="AJ85" s="1">
        <f t="shared" si="33"/>
        <v>0</v>
      </c>
      <c r="AK85" s="1">
        <f t="shared" si="33"/>
        <v>0</v>
      </c>
      <c r="AL85" s="1">
        <f t="shared" si="27"/>
        <v>0</v>
      </c>
      <c r="AM85" s="1">
        <f t="shared" si="27"/>
        <v>0</v>
      </c>
      <c r="AN85" s="1">
        <f t="shared" si="34"/>
        <v>0</v>
      </c>
      <c r="AO85" s="23" t="str">
        <f t="shared" si="32"/>
        <v>DETERMINIST</v>
      </c>
    </row>
    <row r="86" spans="1:41" ht="30" customHeight="1" x14ac:dyDescent="0.3">
      <c r="A86" s="12" t="s">
        <v>133</v>
      </c>
      <c r="B86" s="8">
        <v>2</v>
      </c>
      <c r="C86" s="8">
        <v>2</v>
      </c>
      <c r="D86" s="8">
        <v>0</v>
      </c>
      <c r="E86" s="8">
        <v>2</v>
      </c>
      <c r="F86" s="8">
        <v>1</v>
      </c>
      <c r="G86" s="8">
        <v>1</v>
      </c>
      <c r="H86" s="9">
        <f t="shared" si="28"/>
        <v>15</v>
      </c>
      <c r="I86" s="10" t="str">
        <f t="shared" si="29"/>
        <v>AI-CORE</v>
      </c>
      <c r="J86" s="8">
        <v>1</v>
      </c>
      <c r="K86" s="8">
        <v>1</v>
      </c>
      <c r="L86" s="8">
        <v>0</v>
      </c>
      <c r="M86" s="8">
        <v>1</v>
      </c>
      <c r="N86" s="8">
        <v>0</v>
      </c>
      <c r="O86" s="8">
        <v>0</v>
      </c>
      <c r="P86" s="9">
        <f t="shared" si="30"/>
        <v>6</v>
      </c>
      <c r="Q86" s="10" t="str">
        <f t="shared" si="31"/>
        <v>AI-ADJACENT</v>
      </c>
      <c r="R86">
        <v>2</v>
      </c>
      <c r="S86">
        <v>1</v>
      </c>
      <c r="T86">
        <v>0</v>
      </c>
      <c r="U86">
        <v>1</v>
      </c>
      <c r="V86">
        <v>0</v>
      </c>
      <c r="W86">
        <v>0</v>
      </c>
      <c r="X86">
        <v>8</v>
      </c>
      <c r="Y86" t="s">
        <v>232</v>
      </c>
      <c r="Z86" s="1">
        <v>0</v>
      </c>
      <c r="AA86" s="1">
        <v>1</v>
      </c>
      <c r="AB86" s="1">
        <v>0</v>
      </c>
      <c r="AC86" s="1">
        <v>1</v>
      </c>
      <c r="AD86" s="1">
        <v>0</v>
      </c>
      <c r="AE86" s="1">
        <v>0</v>
      </c>
      <c r="AF86" s="1">
        <v>4</v>
      </c>
      <c r="AG86" s="1" t="s">
        <v>233</v>
      </c>
      <c r="AH86" s="1">
        <f t="shared" si="33"/>
        <v>1.25</v>
      </c>
      <c r="AI86" s="1">
        <f t="shared" si="33"/>
        <v>1.25</v>
      </c>
      <c r="AJ86" s="1">
        <f t="shared" si="33"/>
        <v>0</v>
      </c>
      <c r="AK86" s="1">
        <f t="shared" si="33"/>
        <v>1.25</v>
      </c>
      <c r="AL86" s="1">
        <f t="shared" si="27"/>
        <v>0.25</v>
      </c>
      <c r="AM86" s="1">
        <f t="shared" si="27"/>
        <v>0.25</v>
      </c>
      <c r="AN86" s="1">
        <f t="shared" si="34"/>
        <v>8.25</v>
      </c>
      <c r="AO86" s="23" t="str">
        <f t="shared" si="32"/>
        <v>AI-ENABLED</v>
      </c>
    </row>
    <row r="87" spans="1:41" ht="30" customHeight="1" x14ac:dyDescent="0.3">
      <c r="A87" s="19" t="s">
        <v>191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9">
        <f t="shared" si="28"/>
        <v>0</v>
      </c>
      <c r="I87" s="10" t="str">
        <f t="shared" si="29"/>
        <v>DETERMINIST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9">
        <f t="shared" si="30"/>
        <v>0</v>
      </c>
      <c r="Q87" s="10" t="str">
        <f t="shared" si="31"/>
        <v>DETERMINIST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2</v>
      </c>
      <c r="Y87" t="s">
        <v>234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 t="s">
        <v>234</v>
      </c>
      <c r="AH87" s="1">
        <f t="shared" si="33"/>
        <v>0</v>
      </c>
      <c r="AI87" s="1">
        <f t="shared" si="33"/>
        <v>0.25</v>
      </c>
      <c r="AJ87" s="1">
        <f t="shared" si="33"/>
        <v>0</v>
      </c>
      <c r="AK87" s="1">
        <f t="shared" si="33"/>
        <v>0</v>
      </c>
      <c r="AL87" s="1">
        <f t="shared" si="27"/>
        <v>0</v>
      </c>
      <c r="AM87" s="1">
        <f t="shared" si="27"/>
        <v>0</v>
      </c>
      <c r="AN87" s="1">
        <f t="shared" si="34"/>
        <v>0.5</v>
      </c>
      <c r="AO87" s="23" t="str">
        <f t="shared" si="32"/>
        <v>DETERMINIST</v>
      </c>
    </row>
    <row r="88" spans="1:41" ht="30" customHeight="1" x14ac:dyDescent="0.3">
      <c r="A88" s="15" t="s">
        <v>70</v>
      </c>
      <c r="B88" s="8">
        <v>2</v>
      </c>
      <c r="C88" s="8">
        <v>2</v>
      </c>
      <c r="D88" s="8">
        <v>0</v>
      </c>
      <c r="E88" s="8">
        <v>2</v>
      </c>
      <c r="F88" s="8">
        <v>1</v>
      </c>
      <c r="G88" s="8">
        <v>0</v>
      </c>
      <c r="H88" s="9">
        <f t="shared" si="28"/>
        <v>13</v>
      </c>
      <c r="I88" s="10" t="str">
        <f t="shared" si="29"/>
        <v>AI-CORE</v>
      </c>
      <c r="J88" s="8">
        <v>2</v>
      </c>
      <c r="K88" s="8">
        <v>2</v>
      </c>
      <c r="L88" s="8">
        <v>0</v>
      </c>
      <c r="M88" s="8">
        <v>2</v>
      </c>
      <c r="N88" s="8">
        <v>1</v>
      </c>
      <c r="O88" s="8">
        <v>0</v>
      </c>
      <c r="P88" s="9">
        <f t="shared" si="30"/>
        <v>13</v>
      </c>
      <c r="Q88" s="10" t="str">
        <f t="shared" si="31"/>
        <v>AI-CORE</v>
      </c>
      <c r="R88">
        <v>2</v>
      </c>
      <c r="S88">
        <v>2</v>
      </c>
      <c r="T88">
        <v>0</v>
      </c>
      <c r="U88">
        <v>2</v>
      </c>
      <c r="V88">
        <v>0</v>
      </c>
      <c r="W88">
        <v>0</v>
      </c>
      <c r="X88">
        <v>12</v>
      </c>
      <c r="Y88" t="s">
        <v>235</v>
      </c>
      <c r="Z88" s="1">
        <v>2</v>
      </c>
      <c r="AA88" s="1">
        <v>2</v>
      </c>
      <c r="AB88" s="1">
        <v>0</v>
      </c>
      <c r="AC88" s="1">
        <v>2</v>
      </c>
      <c r="AD88" s="1">
        <v>0</v>
      </c>
      <c r="AE88" s="1">
        <v>0</v>
      </c>
      <c r="AF88" s="1">
        <v>12</v>
      </c>
      <c r="AG88" s="1" t="s">
        <v>235</v>
      </c>
      <c r="AH88" s="1">
        <f t="shared" si="33"/>
        <v>2</v>
      </c>
      <c r="AI88" s="1">
        <f t="shared" si="33"/>
        <v>2</v>
      </c>
      <c r="AJ88" s="1">
        <f t="shared" si="33"/>
        <v>0</v>
      </c>
      <c r="AK88" s="1">
        <f t="shared" si="33"/>
        <v>2</v>
      </c>
      <c r="AL88" s="1">
        <f t="shared" si="27"/>
        <v>0.5</v>
      </c>
      <c r="AM88" s="1">
        <f t="shared" si="27"/>
        <v>0</v>
      </c>
      <c r="AN88" s="1">
        <f t="shared" si="34"/>
        <v>12.5</v>
      </c>
      <c r="AO88" s="23" t="str">
        <f t="shared" si="32"/>
        <v>AI-CORE</v>
      </c>
    </row>
    <row r="89" spans="1:41" ht="30" customHeight="1" x14ac:dyDescent="0.3">
      <c r="A89" s="14" t="s">
        <v>60</v>
      </c>
      <c r="B89" s="8">
        <v>2</v>
      </c>
      <c r="C89" s="8">
        <v>2</v>
      </c>
      <c r="D89" s="8">
        <v>0</v>
      </c>
      <c r="E89" s="8">
        <v>2</v>
      </c>
      <c r="F89" s="8">
        <v>2</v>
      </c>
      <c r="G89" s="8">
        <v>1</v>
      </c>
      <c r="H89" s="9">
        <f t="shared" si="28"/>
        <v>16</v>
      </c>
      <c r="I89" s="10" t="str">
        <f t="shared" si="29"/>
        <v>AI-CORE</v>
      </c>
      <c r="J89" s="8">
        <v>2</v>
      </c>
      <c r="K89" s="8">
        <v>2</v>
      </c>
      <c r="L89" s="8">
        <v>0</v>
      </c>
      <c r="M89" s="8">
        <v>2</v>
      </c>
      <c r="N89" s="8">
        <v>2</v>
      </c>
      <c r="O89" s="8">
        <v>1</v>
      </c>
      <c r="P89" s="9">
        <f t="shared" si="30"/>
        <v>16</v>
      </c>
      <c r="Q89" s="10" t="str">
        <f t="shared" si="31"/>
        <v>AI-CORE</v>
      </c>
      <c r="R89">
        <v>2</v>
      </c>
      <c r="S89">
        <v>2</v>
      </c>
      <c r="T89">
        <v>0</v>
      </c>
      <c r="U89">
        <v>2</v>
      </c>
      <c r="V89">
        <v>2</v>
      </c>
      <c r="W89">
        <v>0</v>
      </c>
      <c r="X89">
        <v>14</v>
      </c>
      <c r="Y89" t="s">
        <v>235</v>
      </c>
      <c r="Z89" s="1">
        <v>2</v>
      </c>
      <c r="AA89" s="1">
        <v>2</v>
      </c>
      <c r="AB89" s="1">
        <v>0</v>
      </c>
      <c r="AC89" s="1">
        <v>0</v>
      </c>
      <c r="AD89" s="1">
        <v>2</v>
      </c>
      <c r="AE89" s="1">
        <v>0</v>
      </c>
      <c r="AF89" s="1">
        <v>10</v>
      </c>
      <c r="AG89" s="1" t="s">
        <v>232</v>
      </c>
      <c r="AH89" s="1">
        <f t="shared" si="33"/>
        <v>2</v>
      </c>
      <c r="AI89" s="1">
        <f t="shared" si="33"/>
        <v>2</v>
      </c>
      <c r="AJ89" s="1">
        <f t="shared" si="33"/>
        <v>0</v>
      </c>
      <c r="AK89" s="1">
        <f t="shared" si="33"/>
        <v>1.5</v>
      </c>
      <c r="AL89" s="1">
        <f t="shared" si="27"/>
        <v>2</v>
      </c>
      <c r="AM89" s="1">
        <f t="shared" si="27"/>
        <v>0.5</v>
      </c>
      <c r="AN89" s="1">
        <f t="shared" si="34"/>
        <v>14</v>
      </c>
      <c r="AO89" s="23" t="str">
        <f t="shared" si="32"/>
        <v>AI-CORE</v>
      </c>
    </row>
    <row r="90" spans="1:41" ht="30" customHeight="1" x14ac:dyDescent="0.3">
      <c r="A90" s="19" t="s">
        <v>101</v>
      </c>
      <c r="B90" s="8">
        <v>2</v>
      </c>
      <c r="C90" s="8">
        <v>2</v>
      </c>
      <c r="D90" s="8">
        <v>2</v>
      </c>
      <c r="E90" s="8">
        <v>2</v>
      </c>
      <c r="F90" s="8">
        <v>2</v>
      </c>
      <c r="G90" s="8">
        <v>2</v>
      </c>
      <c r="H90" s="9">
        <f t="shared" si="28"/>
        <v>20</v>
      </c>
      <c r="I90" s="10" t="str">
        <f t="shared" si="29"/>
        <v>AI-NATIVE</v>
      </c>
      <c r="J90" s="8">
        <v>2</v>
      </c>
      <c r="K90" s="8">
        <v>2</v>
      </c>
      <c r="L90" s="8">
        <v>2</v>
      </c>
      <c r="M90" s="8">
        <v>2</v>
      </c>
      <c r="N90" s="8">
        <v>2</v>
      </c>
      <c r="O90" s="8">
        <v>2</v>
      </c>
      <c r="P90" s="9">
        <f t="shared" si="30"/>
        <v>20</v>
      </c>
      <c r="Q90" s="10" t="str">
        <f t="shared" si="31"/>
        <v>AI-NATIVE</v>
      </c>
      <c r="R90">
        <v>2</v>
      </c>
      <c r="S90">
        <v>2</v>
      </c>
      <c r="T90">
        <v>2</v>
      </c>
      <c r="U90">
        <v>2</v>
      </c>
      <c r="V90">
        <v>2</v>
      </c>
      <c r="W90">
        <v>0</v>
      </c>
      <c r="X90">
        <v>16</v>
      </c>
      <c r="Y90" t="s">
        <v>235</v>
      </c>
      <c r="Z90" s="1">
        <v>2</v>
      </c>
      <c r="AA90" s="1">
        <v>2</v>
      </c>
      <c r="AB90" s="1">
        <v>2</v>
      </c>
      <c r="AC90" s="1">
        <v>1</v>
      </c>
      <c r="AD90" s="1">
        <v>1</v>
      </c>
      <c r="AE90" s="1">
        <v>1</v>
      </c>
      <c r="AF90" s="9">
        <f t="shared" ref="AF90" si="37">Z90*2+AA90*2+AB90+AC90*2+AD90+AE90*2</f>
        <v>15</v>
      </c>
      <c r="AG90" s="10" t="str">
        <f t="shared" ref="AG90" si="38">IF(AF90="","",IF(AF90&lt;=2,"DETERMINIST",IF(AF90&lt;=6,"AI-ADJACENT",IF(AF90&lt;=11,"AI-ENABLED",IF(AF90&lt;=17,"AI-CORE","AI-NATIVE")))))</f>
        <v>AI-CORE</v>
      </c>
      <c r="AH90" s="1">
        <f t="shared" si="33"/>
        <v>2</v>
      </c>
      <c r="AI90" s="1">
        <f t="shared" si="33"/>
        <v>2</v>
      </c>
      <c r="AJ90" s="1">
        <f t="shared" si="33"/>
        <v>2</v>
      </c>
      <c r="AK90" s="1">
        <f t="shared" si="33"/>
        <v>1.75</v>
      </c>
      <c r="AL90" s="1">
        <f t="shared" si="27"/>
        <v>1.75</v>
      </c>
      <c r="AM90" s="1">
        <f t="shared" si="27"/>
        <v>1.25</v>
      </c>
      <c r="AN90" s="1">
        <f t="shared" si="34"/>
        <v>17.75</v>
      </c>
      <c r="AO90" s="23" t="str">
        <f t="shared" si="32"/>
        <v>AI-NATIVE</v>
      </c>
    </row>
    <row r="91" spans="1:41" ht="30" customHeight="1" x14ac:dyDescent="0.3">
      <c r="A91" s="7" t="s">
        <v>24</v>
      </c>
      <c r="B91" s="8">
        <v>2</v>
      </c>
      <c r="C91" s="8">
        <v>2</v>
      </c>
      <c r="D91" s="8">
        <v>0</v>
      </c>
      <c r="E91" s="8">
        <v>2</v>
      </c>
      <c r="F91" s="8">
        <v>2</v>
      </c>
      <c r="G91" s="8">
        <v>2</v>
      </c>
      <c r="H91" s="9">
        <f t="shared" si="28"/>
        <v>18</v>
      </c>
      <c r="I91" s="10" t="str">
        <f t="shared" si="29"/>
        <v>AI-NATIVE</v>
      </c>
      <c r="J91" s="8">
        <v>0</v>
      </c>
      <c r="K91" s="8">
        <v>1</v>
      </c>
      <c r="L91" s="8">
        <v>0</v>
      </c>
      <c r="M91" s="8">
        <v>0</v>
      </c>
      <c r="N91" s="8">
        <v>1</v>
      </c>
      <c r="O91" s="8">
        <v>1</v>
      </c>
      <c r="P91" s="9">
        <f t="shared" si="30"/>
        <v>5</v>
      </c>
      <c r="Q91" s="10" t="str">
        <f t="shared" si="31"/>
        <v>AI-ADJACENT</v>
      </c>
      <c r="R91">
        <v>2</v>
      </c>
      <c r="S91">
        <v>2</v>
      </c>
      <c r="T91">
        <v>1</v>
      </c>
      <c r="U91">
        <v>2</v>
      </c>
      <c r="V91">
        <v>2</v>
      </c>
      <c r="W91">
        <v>2</v>
      </c>
      <c r="X91">
        <v>19</v>
      </c>
      <c r="Y91" t="s">
        <v>236</v>
      </c>
      <c r="Z91" s="1">
        <v>2</v>
      </c>
      <c r="AA91" s="1">
        <v>2</v>
      </c>
      <c r="AB91" s="1">
        <v>0</v>
      </c>
      <c r="AC91" s="1">
        <v>2</v>
      </c>
      <c r="AD91" s="1">
        <v>2</v>
      </c>
      <c r="AE91" s="1">
        <v>2</v>
      </c>
      <c r="AF91" s="1">
        <v>18</v>
      </c>
      <c r="AG91" s="1" t="s">
        <v>236</v>
      </c>
      <c r="AH91" s="1">
        <f t="shared" si="33"/>
        <v>1.5</v>
      </c>
      <c r="AI91" s="1">
        <f t="shared" si="33"/>
        <v>1.75</v>
      </c>
      <c r="AJ91" s="1">
        <f t="shared" si="33"/>
        <v>0.25</v>
      </c>
      <c r="AK91" s="1">
        <f t="shared" si="33"/>
        <v>1.5</v>
      </c>
      <c r="AL91" s="1">
        <f t="shared" si="27"/>
        <v>1.75</v>
      </c>
      <c r="AM91" s="1">
        <f t="shared" si="27"/>
        <v>1.75</v>
      </c>
      <c r="AN91" s="1">
        <f t="shared" si="34"/>
        <v>15</v>
      </c>
      <c r="AO91" s="23" t="str">
        <f t="shared" si="32"/>
        <v>AI-CORE</v>
      </c>
    </row>
    <row r="92" spans="1:41" ht="30" customHeight="1" x14ac:dyDescent="0.3">
      <c r="A92" s="17" t="s">
        <v>88</v>
      </c>
      <c r="B92" s="8">
        <v>2</v>
      </c>
      <c r="C92" s="8">
        <v>2</v>
      </c>
      <c r="D92" s="8">
        <v>1</v>
      </c>
      <c r="E92" s="8">
        <v>2</v>
      </c>
      <c r="F92" s="8">
        <v>2</v>
      </c>
      <c r="G92" s="8">
        <v>1</v>
      </c>
      <c r="H92" s="9">
        <f t="shared" si="28"/>
        <v>17</v>
      </c>
      <c r="I92" s="10" t="str">
        <f t="shared" si="29"/>
        <v>AI-CORE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9">
        <f t="shared" si="30"/>
        <v>0</v>
      </c>
      <c r="Q92" s="10" t="str">
        <f t="shared" si="31"/>
        <v>DETERMINIST</v>
      </c>
      <c r="R92">
        <v>2</v>
      </c>
      <c r="S92">
        <v>0</v>
      </c>
      <c r="T92">
        <v>2</v>
      </c>
      <c r="U92">
        <v>0</v>
      </c>
      <c r="V92">
        <v>1</v>
      </c>
      <c r="W92">
        <v>0</v>
      </c>
      <c r="X92">
        <v>7</v>
      </c>
      <c r="Y92" t="s">
        <v>232</v>
      </c>
      <c r="Z92" s="1">
        <v>1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2</v>
      </c>
      <c r="AG92" s="1" t="s">
        <v>234</v>
      </c>
      <c r="AH92" s="1">
        <f t="shared" si="33"/>
        <v>1.25</v>
      </c>
      <c r="AI92" s="1">
        <f t="shared" si="33"/>
        <v>0.5</v>
      </c>
      <c r="AJ92" s="1">
        <f t="shared" si="33"/>
        <v>0.75</v>
      </c>
      <c r="AK92" s="1">
        <f t="shared" si="33"/>
        <v>0.5</v>
      </c>
      <c r="AL92" s="1">
        <f t="shared" si="27"/>
        <v>0.75</v>
      </c>
      <c r="AM92" s="1">
        <f t="shared" si="27"/>
        <v>0.25</v>
      </c>
      <c r="AN92" s="1">
        <f t="shared" si="34"/>
        <v>6.5</v>
      </c>
      <c r="AO92" s="23" t="str">
        <f t="shared" si="32"/>
        <v>AI-ENABLED</v>
      </c>
    </row>
    <row r="93" spans="1:41" ht="30" customHeight="1" x14ac:dyDescent="0.3">
      <c r="A93" s="17" t="s">
        <v>87</v>
      </c>
      <c r="B93" s="8">
        <v>2</v>
      </c>
      <c r="C93" s="8">
        <v>2</v>
      </c>
      <c r="D93" s="8">
        <v>1</v>
      </c>
      <c r="E93" s="8">
        <v>2</v>
      </c>
      <c r="F93" s="8">
        <v>2</v>
      </c>
      <c r="G93" s="8">
        <v>1</v>
      </c>
      <c r="H93" s="9">
        <f t="shared" si="28"/>
        <v>17</v>
      </c>
      <c r="I93" s="10" t="str">
        <f t="shared" si="29"/>
        <v>AI-CORE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9">
        <f t="shared" si="30"/>
        <v>0</v>
      </c>
      <c r="Q93" s="10" t="str">
        <f t="shared" si="31"/>
        <v>DETERMINIST</v>
      </c>
      <c r="R93">
        <v>2</v>
      </c>
      <c r="S93">
        <v>2</v>
      </c>
      <c r="T93">
        <v>0</v>
      </c>
      <c r="U93">
        <v>2</v>
      </c>
      <c r="V93">
        <v>1</v>
      </c>
      <c r="W93">
        <v>0</v>
      </c>
      <c r="X93">
        <v>13</v>
      </c>
      <c r="Y93" t="s">
        <v>235</v>
      </c>
      <c r="Z93" s="1">
        <v>2</v>
      </c>
      <c r="AA93" s="1">
        <v>2</v>
      </c>
      <c r="AB93" s="1">
        <v>0</v>
      </c>
      <c r="AC93" s="1">
        <v>0</v>
      </c>
      <c r="AD93" s="1">
        <v>0</v>
      </c>
      <c r="AE93" s="1">
        <v>0</v>
      </c>
      <c r="AF93" s="1">
        <v>8</v>
      </c>
      <c r="AG93" s="1" t="s">
        <v>232</v>
      </c>
      <c r="AH93" s="1">
        <f t="shared" si="33"/>
        <v>1.5</v>
      </c>
      <c r="AI93" s="1">
        <f t="shared" si="33"/>
        <v>1.5</v>
      </c>
      <c r="AJ93" s="1">
        <f t="shared" si="33"/>
        <v>0.25</v>
      </c>
      <c r="AK93" s="1">
        <f t="shared" si="33"/>
        <v>1</v>
      </c>
      <c r="AL93" s="1">
        <f t="shared" si="27"/>
        <v>0.75</v>
      </c>
      <c r="AM93" s="1">
        <f t="shared" si="27"/>
        <v>0.25</v>
      </c>
      <c r="AN93" s="1">
        <f t="shared" si="34"/>
        <v>9.5</v>
      </c>
      <c r="AO93" s="23" t="str">
        <f t="shared" si="32"/>
        <v>AI-ENABLED</v>
      </c>
    </row>
    <row r="94" spans="1:41" ht="30" customHeight="1" x14ac:dyDescent="0.3">
      <c r="A94" s="12" t="s">
        <v>46</v>
      </c>
      <c r="B94" s="8">
        <v>2</v>
      </c>
      <c r="C94" s="8">
        <v>2</v>
      </c>
      <c r="D94" s="8">
        <v>0</v>
      </c>
      <c r="E94" s="8">
        <v>2</v>
      </c>
      <c r="F94" s="8">
        <v>2</v>
      </c>
      <c r="G94" s="8">
        <v>2</v>
      </c>
      <c r="H94" s="9">
        <f t="shared" si="28"/>
        <v>18</v>
      </c>
      <c r="I94" s="10" t="str">
        <f t="shared" si="29"/>
        <v>AI-NATIVE</v>
      </c>
      <c r="J94" s="8">
        <v>2</v>
      </c>
      <c r="K94" s="8">
        <v>2</v>
      </c>
      <c r="L94" s="8">
        <v>0</v>
      </c>
      <c r="M94" s="8">
        <v>2</v>
      </c>
      <c r="N94" s="8">
        <v>2</v>
      </c>
      <c r="O94" s="8">
        <v>2</v>
      </c>
      <c r="P94" s="9">
        <f t="shared" si="30"/>
        <v>18</v>
      </c>
      <c r="Q94" s="10" t="str">
        <f t="shared" si="31"/>
        <v>AI-NATIVE</v>
      </c>
      <c r="R94">
        <v>0</v>
      </c>
      <c r="S94">
        <v>2</v>
      </c>
      <c r="T94">
        <v>0</v>
      </c>
      <c r="U94">
        <v>2</v>
      </c>
      <c r="V94">
        <v>2</v>
      </c>
      <c r="W94">
        <v>2</v>
      </c>
      <c r="X94">
        <v>14</v>
      </c>
      <c r="Y94" t="s">
        <v>235</v>
      </c>
      <c r="Z94" s="1">
        <v>2</v>
      </c>
      <c r="AA94" s="1">
        <v>2</v>
      </c>
      <c r="AB94" s="1">
        <v>2</v>
      </c>
      <c r="AC94" s="1">
        <v>2</v>
      </c>
      <c r="AD94" s="1">
        <v>2</v>
      </c>
      <c r="AE94" s="1">
        <v>2</v>
      </c>
      <c r="AF94" s="9">
        <f t="shared" ref="AF94" si="39">Z94*2+AA94*2+AB94+AC94*2+AD94+AE94*2</f>
        <v>20</v>
      </c>
      <c r="AG94" s="10" t="str">
        <f t="shared" ref="AG94" si="40">IF(AF94="","",IF(AF94&lt;=2,"DETERMINIST",IF(AF94&lt;=6,"AI-ADJACENT",IF(AF94&lt;=11,"AI-ENABLED",IF(AF94&lt;=17,"AI-CORE","AI-NATIVE")))))</f>
        <v>AI-NATIVE</v>
      </c>
      <c r="AH94" s="1">
        <f t="shared" si="33"/>
        <v>1.5</v>
      </c>
      <c r="AI94" s="1">
        <f t="shared" si="33"/>
        <v>2</v>
      </c>
      <c r="AJ94" s="1">
        <f t="shared" si="33"/>
        <v>0.5</v>
      </c>
      <c r="AK94" s="1">
        <f t="shared" si="33"/>
        <v>2</v>
      </c>
      <c r="AL94" s="1">
        <f t="shared" si="27"/>
        <v>2</v>
      </c>
      <c r="AM94" s="1">
        <f t="shared" si="27"/>
        <v>2</v>
      </c>
      <c r="AN94" s="1">
        <f t="shared" si="34"/>
        <v>17.5</v>
      </c>
      <c r="AO94" s="23" t="str">
        <f t="shared" si="32"/>
        <v>AI-NATIVE</v>
      </c>
    </row>
    <row r="95" spans="1:41" ht="30" customHeight="1" x14ac:dyDescent="0.3">
      <c r="A95" s="11" t="s">
        <v>128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9">
        <f t="shared" si="28"/>
        <v>0</v>
      </c>
      <c r="I95" s="10" t="str">
        <f t="shared" si="29"/>
        <v>DETERMINIST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9">
        <f t="shared" si="30"/>
        <v>0</v>
      </c>
      <c r="Q95" s="10" t="str">
        <f t="shared" si="31"/>
        <v>DETERMINIST</v>
      </c>
      <c r="R95">
        <v>0</v>
      </c>
      <c r="S95">
        <v>2</v>
      </c>
      <c r="T95">
        <v>1</v>
      </c>
      <c r="U95">
        <v>0</v>
      </c>
      <c r="V95">
        <v>1</v>
      </c>
      <c r="W95">
        <v>1</v>
      </c>
      <c r="X95">
        <v>8</v>
      </c>
      <c r="Y95" t="s">
        <v>232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 t="s">
        <v>234</v>
      </c>
      <c r="AH95" s="1">
        <f t="shared" si="33"/>
        <v>0</v>
      </c>
      <c r="AI95" s="1">
        <f t="shared" si="33"/>
        <v>0.5</v>
      </c>
      <c r="AJ95" s="1">
        <f t="shared" si="33"/>
        <v>0.25</v>
      </c>
      <c r="AK95" s="1">
        <f t="shared" si="33"/>
        <v>0</v>
      </c>
      <c r="AL95" s="1">
        <f t="shared" si="27"/>
        <v>0.25</v>
      </c>
      <c r="AM95" s="1">
        <f t="shared" si="27"/>
        <v>0.25</v>
      </c>
      <c r="AN95" s="1">
        <f t="shared" si="34"/>
        <v>2</v>
      </c>
      <c r="AO95" s="23" t="str">
        <f t="shared" si="32"/>
        <v>DETERMINIST</v>
      </c>
    </row>
    <row r="96" spans="1:41" ht="30" customHeight="1" x14ac:dyDescent="0.3">
      <c r="A96" s="20" t="s">
        <v>197</v>
      </c>
      <c r="B96" s="8">
        <v>0</v>
      </c>
      <c r="C96" s="8">
        <v>0</v>
      </c>
      <c r="D96" s="8">
        <v>0</v>
      </c>
      <c r="E96" s="8">
        <v>0</v>
      </c>
      <c r="F96" s="8">
        <v>1</v>
      </c>
      <c r="G96" s="8">
        <v>1</v>
      </c>
      <c r="H96" s="9">
        <f t="shared" si="28"/>
        <v>3</v>
      </c>
      <c r="I96" s="10" t="str">
        <f t="shared" si="29"/>
        <v>AI-ADJACENT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9">
        <f t="shared" si="30"/>
        <v>0</v>
      </c>
      <c r="Q96" s="10" t="str">
        <f t="shared" si="31"/>
        <v>DETERMINIST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234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 t="s">
        <v>234</v>
      </c>
      <c r="AH96" s="1">
        <f t="shared" si="33"/>
        <v>0</v>
      </c>
      <c r="AI96" s="1">
        <f t="shared" si="33"/>
        <v>0</v>
      </c>
      <c r="AJ96" s="1">
        <f t="shared" si="33"/>
        <v>0</v>
      </c>
      <c r="AK96" s="1">
        <f t="shared" si="33"/>
        <v>0</v>
      </c>
      <c r="AL96" s="1">
        <f t="shared" si="27"/>
        <v>0.25</v>
      </c>
      <c r="AM96" s="1">
        <f t="shared" si="27"/>
        <v>0.25</v>
      </c>
      <c r="AN96" s="1">
        <f t="shared" si="34"/>
        <v>0.75</v>
      </c>
      <c r="AO96" s="23" t="str">
        <f t="shared" si="32"/>
        <v>DETERMINIST</v>
      </c>
    </row>
    <row r="97" spans="1:41" ht="30" customHeight="1" x14ac:dyDescent="0.3">
      <c r="A97" s="20" t="s">
        <v>107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9">
        <f t="shared" si="28"/>
        <v>0</v>
      </c>
      <c r="I97" s="10" t="str">
        <f t="shared" si="29"/>
        <v>DETERMINIST</v>
      </c>
      <c r="J97" s="8">
        <v>0</v>
      </c>
      <c r="K97" s="8">
        <v>0</v>
      </c>
      <c r="L97" s="8">
        <v>1</v>
      </c>
      <c r="M97" s="8">
        <v>0</v>
      </c>
      <c r="N97" s="8">
        <v>1</v>
      </c>
      <c r="O97" s="8">
        <v>1</v>
      </c>
      <c r="P97" s="9">
        <f t="shared" si="30"/>
        <v>4</v>
      </c>
      <c r="Q97" s="10" t="str">
        <f t="shared" si="31"/>
        <v>AI-ADJACENT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234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 t="s">
        <v>234</v>
      </c>
      <c r="AH97" s="1">
        <f t="shared" si="33"/>
        <v>0</v>
      </c>
      <c r="AI97" s="1">
        <f t="shared" si="33"/>
        <v>0</v>
      </c>
      <c r="AJ97" s="1">
        <f t="shared" si="33"/>
        <v>0.25</v>
      </c>
      <c r="AK97" s="1">
        <f t="shared" si="33"/>
        <v>0</v>
      </c>
      <c r="AL97" s="1">
        <f t="shared" si="27"/>
        <v>0.25</v>
      </c>
      <c r="AM97" s="1">
        <f t="shared" si="27"/>
        <v>0.25</v>
      </c>
      <c r="AN97" s="1">
        <f t="shared" si="34"/>
        <v>1</v>
      </c>
      <c r="AO97" s="23" t="str">
        <f t="shared" si="32"/>
        <v>DETERMINIST</v>
      </c>
    </row>
    <row r="98" spans="1:41" ht="30" customHeight="1" x14ac:dyDescent="0.3">
      <c r="A98" s="18" t="s">
        <v>184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9">
        <f t="shared" ref="H98:H129" si="41">B98*2+C98*2+D98+E98*2+F98+G98*2</f>
        <v>0</v>
      </c>
      <c r="I98" s="10" t="str">
        <f t="shared" ref="I98:I129" si="42">IF(H98="","",IF(H98&lt;=2,"DETERMINIST",IF(H98&lt;=6,"AI-ADJACENT",IF(H98&lt;=11,"AI-ENABLED",IF(H98&lt;=17,"AI-CORE","AI-NATIVE")))))</f>
        <v>DETERMINIST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9">
        <f t="shared" ref="P98:P129" si="43">J98*2+K98*2+L98+M98*2+N98+O98*2</f>
        <v>0</v>
      </c>
      <c r="Q98" s="10" t="str">
        <f t="shared" ref="Q98:Q129" si="44">IF(P98="","",IF(P98&lt;=2,"DETERMINIST",IF(P98&lt;=6,"AI-ADJACENT",IF(P98&lt;=11,"AI-ENABLED",IF(P98&lt;=17,"AI-CORE","AI-NATIVE")))))</f>
        <v>DETERMINIST</v>
      </c>
      <c r="R98">
        <v>0</v>
      </c>
      <c r="S98">
        <v>1</v>
      </c>
      <c r="T98">
        <v>0</v>
      </c>
      <c r="U98">
        <v>1</v>
      </c>
      <c r="V98">
        <v>0</v>
      </c>
      <c r="W98">
        <v>0</v>
      </c>
      <c r="X98">
        <v>4</v>
      </c>
      <c r="Y98" t="s">
        <v>233</v>
      </c>
      <c r="Z98" s="1">
        <v>0</v>
      </c>
      <c r="AA98" s="1">
        <v>0</v>
      </c>
      <c r="AB98" s="1">
        <v>1</v>
      </c>
      <c r="AC98" s="1">
        <v>0</v>
      </c>
      <c r="AD98" s="1">
        <v>0</v>
      </c>
      <c r="AE98" s="1">
        <v>0</v>
      </c>
      <c r="AF98" s="1">
        <v>1</v>
      </c>
      <c r="AG98" s="1" t="s">
        <v>234</v>
      </c>
      <c r="AH98" s="1">
        <f t="shared" si="33"/>
        <v>0</v>
      </c>
      <c r="AI98" s="1">
        <f t="shared" si="33"/>
        <v>0.25</v>
      </c>
      <c r="AJ98" s="1">
        <f t="shared" si="33"/>
        <v>0.25</v>
      </c>
      <c r="AK98" s="1">
        <f t="shared" si="33"/>
        <v>0.25</v>
      </c>
      <c r="AL98" s="1">
        <f t="shared" si="27"/>
        <v>0</v>
      </c>
      <c r="AM98" s="1">
        <f t="shared" si="27"/>
        <v>0</v>
      </c>
      <c r="AN98" s="1">
        <f t="shared" si="34"/>
        <v>1.25</v>
      </c>
      <c r="AO98" s="23" t="str">
        <f t="shared" si="32"/>
        <v>DETERMINIST</v>
      </c>
    </row>
    <row r="99" spans="1:41" ht="30" customHeight="1" x14ac:dyDescent="0.3">
      <c r="A99" s="20" t="s">
        <v>104</v>
      </c>
      <c r="B99" s="8">
        <v>0</v>
      </c>
      <c r="C99" s="8">
        <v>0</v>
      </c>
      <c r="D99" s="8">
        <v>0</v>
      </c>
      <c r="E99" s="8">
        <v>0</v>
      </c>
      <c r="F99" s="8">
        <v>2</v>
      </c>
      <c r="G99" s="8">
        <v>2</v>
      </c>
      <c r="H99" s="9">
        <f t="shared" si="41"/>
        <v>6</v>
      </c>
      <c r="I99" s="10" t="str">
        <f t="shared" si="42"/>
        <v>AI-ADJACENT</v>
      </c>
      <c r="J99" s="8">
        <v>0</v>
      </c>
      <c r="K99" s="8">
        <v>1</v>
      </c>
      <c r="L99" s="8">
        <v>0</v>
      </c>
      <c r="M99" s="8">
        <v>1</v>
      </c>
      <c r="N99" s="8">
        <v>1</v>
      </c>
      <c r="O99" s="8">
        <v>2</v>
      </c>
      <c r="P99" s="9">
        <f t="shared" si="43"/>
        <v>9</v>
      </c>
      <c r="Q99" s="10" t="str">
        <f t="shared" si="44"/>
        <v>AI-ENABLED</v>
      </c>
      <c r="R99">
        <v>0</v>
      </c>
      <c r="S99">
        <v>2</v>
      </c>
      <c r="T99">
        <v>0</v>
      </c>
      <c r="U99">
        <v>2</v>
      </c>
      <c r="V99">
        <v>2</v>
      </c>
      <c r="W99">
        <v>2</v>
      </c>
      <c r="X99">
        <v>14</v>
      </c>
      <c r="Y99" t="s">
        <v>235</v>
      </c>
      <c r="Z99" s="1">
        <v>2</v>
      </c>
      <c r="AA99" s="1">
        <v>2</v>
      </c>
      <c r="AB99" s="1">
        <v>1</v>
      </c>
      <c r="AC99" s="1">
        <v>2</v>
      </c>
      <c r="AD99" s="1">
        <v>2</v>
      </c>
      <c r="AE99" s="1">
        <v>2</v>
      </c>
      <c r="AF99" s="1">
        <v>19</v>
      </c>
      <c r="AG99" s="1" t="s">
        <v>236</v>
      </c>
      <c r="AH99" s="1">
        <f t="shared" si="33"/>
        <v>0.5</v>
      </c>
      <c r="AI99" s="1">
        <f t="shared" si="33"/>
        <v>1.25</v>
      </c>
      <c r="AJ99" s="1">
        <f t="shared" si="33"/>
        <v>0.25</v>
      </c>
      <c r="AK99" s="1">
        <f t="shared" si="33"/>
        <v>1.25</v>
      </c>
      <c r="AL99" s="1">
        <f t="shared" si="27"/>
        <v>1.75</v>
      </c>
      <c r="AM99" s="1">
        <f t="shared" si="27"/>
        <v>2</v>
      </c>
      <c r="AN99" s="1">
        <f t="shared" si="34"/>
        <v>12</v>
      </c>
      <c r="AO99" s="23" t="str">
        <f t="shared" si="32"/>
        <v>AI-CORE</v>
      </c>
    </row>
    <row r="100" spans="1:41" ht="30" customHeight="1" x14ac:dyDescent="0.3">
      <c r="A100" s="11" t="s">
        <v>40</v>
      </c>
      <c r="B100" s="8">
        <v>2</v>
      </c>
      <c r="C100" s="8">
        <v>2</v>
      </c>
      <c r="D100" s="8">
        <v>0</v>
      </c>
      <c r="E100" s="8">
        <v>2</v>
      </c>
      <c r="F100" s="8">
        <v>2</v>
      </c>
      <c r="G100" s="8">
        <v>2</v>
      </c>
      <c r="H100" s="9">
        <f t="shared" si="41"/>
        <v>18</v>
      </c>
      <c r="I100" s="10" t="str">
        <f t="shared" si="42"/>
        <v>AI-NATIVE</v>
      </c>
      <c r="J100" s="8">
        <v>2</v>
      </c>
      <c r="K100" s="8">
        <v>2</v>
      </c>
      <c r="L100" s="8">
        <v>1</v>
      </c>
      <c r="M100" s="8">
        <v>2</v>
      </c>
      <c r="N100" s="8">
        <v>2</v>
      </c>
      <c r="O100" s="8">
        <v>2</v>
      </c>
      <c r="P100" s="9">
        <f t="shared" si="43"/>
        <v>19</v>
      </c>
      <c r="Q100" s="10" t="str">
        <f t="shared" si="44"/>
        <v>AI-NATIVE</v>
      </c>
      <c r="R100">
        <v>2</v>
      </c>
      <c r="S100">
        <v>2</v>
      </c>
      <c r="T100">
        <v>1</v>
      </c>
      <c r="U100">
        <v>2</v>
      </c>
      <c r="V100">
        <v>2</v>
      </c>
      <c r="W100">
        <v>2</v>
      </c>
      <c r="X100" s="9">
        <f t="shared" ref="X100" si="45">R100*2+S100*2+T100+U100*2+V100+W100*2</f>
        <v>19</v>
      </c>
      <c r="Y100" s="10" t="str">
        <f t="shared" ref="Y100" si="46">IF(X100="","",IF(X100&lt;=2,"DETERMINIST",IF(X100&lt;=6,"AI-ADJACENT",IF(X100&lt;=11,"AI-ENABLED",IF(X100&lt;=17,"AI-CORE","AI-NATIVE")))))</f>
        <v>AI-NATIVE</v>
      </c>
      <c r="Z100" s="1">
        <v>2</v>
      </c>
      <c r="AA100" s="1">
        <v>1</v>
      </c>
      <c r="AB100" s="1">
        <v>2</v>
      </c>
      <c r="AC100" s="1">
        <v>2</v>
      </c>
      <c r="AD100" s="1">
        <v>2</v>
      </c>
      <c r="AE100" s="1">
        <v>1</v>
      </c>
      <c r="AF100" s="9">
        <f t="shared" ref="AF100" si="47">Z100*2+AA100*2+AB100+AC100*2+AD100+AE100*2</f>
        <v>16</v>
      </c>
      <c r="AG100" s="10" t="str">
        <f t="shared" ref="AG100" si="48">IF(AF100="","",IF(AF100&lt;=2,"DETERMINIST",IF(AF100&lt;=6,"AI-ADJACENT",IF(AF100&lt;=11,"AI-ENABLED",IF(AF100&lt;=17,"AI-CORE","AI-NATIVE")))))</f>
        <v>AI-CORE</v>
      </c>
      <c r="AH100" s="1">
        <f t="shared" si="33"/>
        <v>2</v>
      </c>
      <c r="AI100" s="1">
        <f t="shared" si="33"/>
        <v>1.75</v>
      </c>
      <c r="AJ100" s="1">
        <f t="shared" si="33"/>
        <v>1</v>
      </c>
      <c r="AK100" s="1">
        <f t="shared" si="33"/>
        <v>2</v>
      </c>
      <c r="AL100" s="1">
        <f t="shared" si="27"/>
        <v>2</v>
      </c>
      <c r="AM100" s="1">
        <f t="shared" si="27"/>
        <v>1.75</v>
      </c>
      <c r="AN100" s="1">
        <f t="shared" si="34"/>
        <v>18</v>
      </c>
      <c r="AO100" s="23" t="str">
        <f t="shared" si="32"/>
        <v>AI-NATIVE</v>
      </c>
    </row>
    <row r="101" spans="1:41" x14ac:dyDescent="0.3">
      <c r="A101" s="7" t="s">
        <v>19</v>
      </c>
      <c r="B101" s="8">
        <v>0</v>
      </c>
      <c r="C101" s="8">
        <v>1</v>
      </c>
      <c r="D101" s="8">
        <v>0</v>
      </c>
      <c r="E101" s="8">
        <v>0</v>
      </c>
      <c r="F101" s="8">
        <v>2</v>
      </c>
      <c r="G101" s="8">
        <v>1</v>
      </c>
      <c r="H101" s="9">
        <f t="shared" si="41"/>
        <v>6</v>
      </c>
      <c r="I101" s="10" t="str">
        <f t="shared" si="42"/>
        <v>AI-ADJACENT</v>
      </c>
      <c r="J101" s="8">
        <v>0</v>
      </c>
      <c r="K101" s="8">
        <v>1</v>
      </c>
      <c r="L101" s="8">
        <v>0</v>
      </c>
      <c r="M101" s="8">
        <v>0</v>
      </c>
      <c r="N101" s="8">
        <v>1</v>
      </c>
      <c r="O101" s="8">
        <v>1</v>
      </c>
      <c r="P101" s="9">
        <f t="shared" si="43"/>
        <v>5</v>
      </c>
      <c r="Q101" s="10" t="str">
        <f t="shared" si="44"/>
        <v>AI-ADJACENT</v>
      </c>
      <c r="R101">
        <v>0</v>
      </c>
      <c r="S101">
        <v>2</v>
      </c>
      <c r="T101">
        <v>0</v>
      </c>
      <c r="U101">
        <v>0</v>
      </c>
      <c r="V101">
        <v>1</v>
      </c>
      <c r="W101">
        <v>2</v>
      </c>
      <c r="X101">
        <v>9</v>
      </c>
      <c r="Y101" t="s">
        <v>232</v>
      </c>
      <c r="Z101" s="1">
        <v>2</v>
      </c>
      <c r="AA101" s="1">
        <v>2</v>
      </c>
      <c r="AB101" s="1">
        <v>0</v>
      </c>
      <c r="AC101" s="1">
        <v>2</v>
      </c>
      <c r="AD101" s="1">
        <v>2</v>
      </c>
      <c r="AE101" s="1">
        <v>2</v>
      </c>
      <c r="AF101" s="1">
        <v>18</v>
      </c>
      <c r="AG101" s="1" t="s">
        <v>236</v>
      </c>
      <c r="AH101" s="1">
        <f t="shared" si="33"/>
        <v>0.5</v>
      </c>
      <c r="AI101" s="1">
        <f t="shared" si="33"/>
        <v>1.5</v>
      </c>
      <c r="AJ101" s="1">
        <f t="shared" si="33"/>
        <v>0</v>
      </c>
      <c r="AK101" s="1">
        <f t="shared" si="33"/>
        <v>0.5</v>
      </c>
      <c r="AL101" s="1">
        <f t="shared" si="27"/>
        <v>1.5</v>
      </c>
      <c r="AM101" s="1">
        <f t="shared" si="27"/>
        <v>1.5</v>
      </c>
      <c r="AN101" s="1">
        <f t="shared" si="34"/>
        <v>9.5</v>
      </c>
      <c r="AO101" s="23" t="str">
        <f t="shared" si="32"/>
        <v>AI-ENABLED</v>
      </c>
    </row>
    <row r="102" spans="1:41" x14ac:dyDescent="0.3">
      <c r="A102" s="12" t="s">
        <v>132</v>
      </c>
      <c r="B102" s="8">
        <v>2</v>
      </c>
      <c r="C102" s="8">
        <v>2</v>
      </c>
      <c r="D102" s="8">
        <v>0</v>
      </c>
      <c r="E102" s="8">
        <v>2</v>
      </c>
      <c r="F102" s="8">
        <v>1</v>
      </c>
      <c r="G102" s="8">
        <v>1</v>
      </c>
      <c r="H102" s="9">
        <f t="shared" si="41"/>
        <v>15</v>
      </c>
      <c r="I102" s="10" t="str">
        <f t="shared" si="42"/>
        <v>AI-CORE</v>
      </c>
      <c r="J102" s="8">
        <v>1</v>
      </c>
      <c r="K102" s="8">
        <v>1</v>
      </c>
      <c r="L102" s="8">
        <v>0</v>
      </c>
      <c r="M102" s="8">
        <v>1</v>
      </c>
      <c r="N102" s="8">
        <v>0</v>
      </c>
      <c r="O102" s="8">
        <v>0</v>
      </c>
      <c r="P102" s="9">
        <f t="shared" si="43"/>
        <v>6</v>
      </c>
      <c r="Q102" s="10" t="str">
        <f t="shared" si="44"/>
        <v>AI-ADJACENT</v>
      </c>
      <c r="R102">
        <v>2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8</v>
      </c>
      <c r="Y102" t="s">
        <v>232</v>
      </c>
      <c r="Z102" s="1">
        <v>2</v>
      </c>
      <c r="AA102" s="1">
        <v>2</v>
      </c>
      <c r="AB102" s="1">
        <v>0</v>
      </c>
      <c r="AC102" s="1">
        <v>1</v>
      </c>
      <c r="AD102" s="1">
        <v>0</v>
      </c>
      <c r="AE102" s="1">
        <v>0</v>
      </c>
      <c r="AF102" s="1">
        <v>10</v>
      </c>
      <c r="AG102" s="1" t="s">
        <v>232</v>
      </c>
      <c r="AH102" s="1">
        <f t="shared" si="33"/>
        <v>1.75</v>
      </c>
      <c r="AI102" s="1">
        <f t="shared" si="33"/>
        <v>1.5</v>
      </c>
      <c r="AJ102" s="1">
        <f t="shared" si="33"/>
        <v>0</v>
      </c>
      <c r="AK102" s="1">
        <f t="shared" si="33"/>
        <v>1.25</v>
      </c>
      <c r="AL102" s="1">
        <f t="shared" si="27"/>
        <v>0.25</v>
      </c>
      <c r="AM102" s="1">
        <f t="shared" si="27"/>
        <v>0.25</v>
      </c>
      <c r="AN102" s="1">
        <f t="shared" si="34"/>
        <v>9.75</v>
      </c>
      <c r="AO102" s="23" t="str">
        <f t="shared" si="32"/>
        <v>AI-ENABLED</v>
      </c>
    </row>
    <row r="103" spans="1:41" x14ac:dyDescent="0.3">
      <c r="A103" s="17" t="s">
        <v>89</v>
      </c>
      <c r="B103" s="8">
        <v>2</v>
      </c>
      <c r="C103" s="8">
        <v>2</v>
      </c>
      <c r="D103" s="8">
        <v>0</v>
      </c>
      <c r="E103" s="8">
        <v>1</v>
      </c>
      <c r="F103" s="8">
        <v>0</v>
      </c>
      <c r="G103" s="8">
        <v>0</v>
      </c>
      <c r="H103" s="9">
        <f t="shared" si="41"/>
        <v>10</v>
      </c>
      <c r="I103" s="10" t="str">
        <f t="shared" si="42"/>
        <v>AI-ENABLED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9">
        <f t="shared" si="43"/>
        <v>0</v>
      </c>
      <c r="Q103" s="10" t="str">
        <f t="shared" si="44"/>
        <v>DETERMINIST</v>
      </c>
      <c r="R103">
        <v>2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8</v>
      </c>
      <c r="Y103" t="s">
        <v>232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 t="s">
        <v>234</v>
      </c>
      <c r="AH103" s="1">
        <f t="shared" si="33"/>
        <v>1</v>
      </c>
      <c r="AI103" s="1">
        <f t="shared" si="33"/>
        <v>1</v>
      </c>
      <c r="AJ103" s="1">
        <f t="shared" si="33"/>
        <v>0</v>
      </c>
      <c r="AK103" s="1">
        <f t="shared" si="33"/>
        <v>0.25</v>
      </c>
      <c r="AL103" s="1">
        <f t="shared" si="27"/>
        <v>0</v>
      </c>
      <c r="AM103" s="1">
        <f t="shared" si="27"/>
        <v>0</v>
      </c>
      <c r="AN103" s="1">
        <f t="shared" si="34"/>
        <v>4.5</v>
      </c>
      <c r="AO103" s="23" t="str">
        <f t="shared" si="32"/>
        <v>AI-ADJACENT</v>
      </c>
    </row>
    <row r="104" spans="1:41" x14ac:dyDescent="0.3">
      <c r="A104" s="15" t="s">
        <v>161</v>
      </c>
      <c r="B104" s="8">
        <v>1</v>
      </c>
      <c r="C104" s="8">
        <v>1</v>
      </c>
      <c r="D104" s="8">
        <v>0</v>
      </c>
      <c r="E104" s="8">
        <v>0</v>
      </c>
      <c r="F104" s="8">
        <v>0</v>
      </c>
      <c r="G104" s="8">
        <v>0</v>
      </c>
      <c r="H104" s="9">
        <f t="shared" si="41"/>
        <v>4</v>
      </c>
      <c r="I104" s="10" t="str">
        <f t="shared" si="42"/>
        <v>AI-ADJACENT</v>
      </c>
      <c r="J104" s="8">
        <v>1</v>
      </c>
      <c r="K104" s="8">
        <v>2</v>
      </c>
      <c r="L104" s="8">
        <v>0</v>
      </c>
      <c r="M104" s="8">
        <v>1</v>
      </c>
      <c r="N104" s="8">
        <v>0</v>
      </c>
      <c r="O104" s="8">
        <v>0</v>
      </c>
      <c r="P104" s="9">
        <f t="shared" si="43"/>
        <v>8</v>
      </c>
      <c r="Q104" s="10" t="str">
        <f t="shared" si="44"/>
        <v>AI-ENABLED</v>
      </c>
      <c r="R104">
        <v>2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8</v>
      </c>
      <c r="Y104" t="s">
        <v>232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 t="s">
        <v>234</v>
      </c>
      <c r="AH104" s="1">
        <f t="shared" si="33"/>
        <v>1</v>
      </c>
      <c r="AI104" s="1">
        <f t="shared" si="33"/>
        <v>1</v>
      </c>
      <c r="AJ104" s="1">
        <f t="shared" si="33"/>
        <v>0</v>
      </c>
      <c r="AK104" s="1">
        <f t="shared" si="33"/>
        <v>0.5</v>
      </c>
      <c r="AL104" s="1">
        <f t="shared" si="27"/>
        <v>0</v>
      </c>
      <c r="AM104" s="1">
        <f t="shared" si="27"/>
        <v>0</v>
      </c>
      <c r="AN104" s="1">
        <f t="shared" si="34"/>
        <v>5</v>
      </c>
      <c r="AO104" s="23" t="str">
        <f t="shared" si="32"/>
        <v>AI-ADJACENT</v>
      </c>
    </row>
    <row r="105" spans="1:41" x14ac:dyDescent="0.3">
      <c r="A105" s="12" t="s">
        <v>42</v>
      </c>
      <c r="B105" s="8">
        <v>2</v>
      </c>
      <c r="C105" s="8">
        <v>2</v>
      </c>
      <c r="D105" s="8">
        <v>0</v>
      </c>
      <c r="E105" s="8">
        <v>2</v>
      </c>
      <c r="F105" s="8">
        <v>2</v>
      </c>
      <c r="G105" s="8">
        <v>2</v>
      </c>
      <c r="H105" s="9">
        <f t="shared" si="41"/>
        <v>18</v>
      </c>
      <c r="I105" s="10" t="str">
        <f t="shared" si="42"/>
        <v>AI-NATIVE</v>
      </c>
      <c r="J105" s="8">
        <v>2</v>
      </c>
      <c r="K105" s="8">
        <v>2</v>
      </c>
      <c r="L105" s="8">
        <v>0</v>
      </c>
      <c r="M105" s="8">
        <v>2</v>
      </c>
      <c r="N105" s="8">
        <v>2</v>
      </c>
      <c r="O105" s="8">
        <v>2</v>
      </c>
      <c r="P105" s="9">
        <f t="shared" si="43"/>
        <v>18</v>
      </c>
      <c r="Q105" s="10" t="str">
        <f t="shared" si="44"/>
        <v>AI-NATIVE</v>
      </c>
      <c r="R105">
        <v>2</v>
      </c>
      <c r="S105">
        <v>2</v>
      </c>
      <c r="T105">
        <v>1</v>
      </c>
      <c r="U105">
        <v>2</v>
      </c>
      <c r="V105">
        <v>2</v>
      </c>
      <c r="W105">
        <v>0</v>
      </c>
      <c r="X105">
        <v>15</v>
      </c>
      <c r="Y105" t="s">
        <v>235</v>
      </c>
      <c r="Z105" s="1">
        <v>2</v>
      </c>
      <c r="AA105" s="1">
        <v>2</v>
      </c>
      <c r="AB105" s="1">
        <v>0</v>
      </c>
      <c r="AC105" s="1">
        <v>2</v>
      </c>
      <c r="AD105" s="1">
        <v>2</v>
      </c>
      <c r="AE105" s="1">
        <v>2</v>
      </c>
      <c r="AF105" s="1">
        <v>18</v>
      </c>
      <c r="AG105" s="1" t="s">
        <v>236</v>
      </c>
      <c r="AH105" s="1">
        <f t="shared" si="33"/>
        <v>2</v>
      </c>
      <c r="AI105" s="1">
        <f t="shared" si="33"/>
        <v>2</v>
      </c>
      <c r="AJ105" s="1">
        <f t="shared" si="33"/>
        <v>0.25</v>
      </c>
      <c r="AK105" s="1">
        <f t="shared" si="33"/>
        <v>2</v>
      </c>
      <c r="AL105" s="1">
        <f t="shared" si="27"/>
        <v>2</v>
      </c>
      <c r="AM105" s="1">
        <f t="shared" si="27"/>
        <v>1.5</v>
      </c>
      <c r="AN105" s="1">
        <f t="shared" si="34"/>
        <v>17.25</v>
      </c>
      <c r="AO105" s="23" t="str">
        <f t="shared" si="32"/>
        <v>AI-NATIVE</v>
      </c>
    </row>
    <row r="106" spans="1:41" x14ac:dyDescent="0.3">
      <c r="A106" s="15" t="s">
        <v>72</v>
      </c>
      <c r="B106" s="8">
        <v>2</v>
      </c>
      <c r="C106" s="8">
        <v>2</v>
      </c>
      <c r="D106" s="8">
        <v>0</v>
      </c>
      <c r="E106" s="8">
        <v>2</v>
      </c>
      <c r="F106" s="8">
        <v>2</v>
      </c>
      <c r="G106" s="8">
        <v>2</v>
      </c>
      <c r="H106" s="9">
        <f t="shared" si="41"/>
        <v>18</v>
      </c>
      <c r="I106" s="10" t="str">
        <f t="shared" si="42"/>
        <v>AI-NATIVE</v>
      </c>
      <c r="J106" s="8">
        <v>2</v>
      </c>
      <c r="K106" s="8">
        <v>2</v>
      </c>
      <c r="L106" s="8">
        <v>0</v>
      </c>
      <c r="M106" s="8">
        <v>2</v>
      </c>
      <c r="N106" s="8">
        <v>2</v>
      </c>
      <c r="O106" s="8">
        <v>1</v>
      </c>
      <c r="P106" s="9">
        <f t="shared" si="43"/>
        <v>16</v>
      </c>
      <c r="Q106" s="10" t="str">
        <f t="shared" si="44"/>
        <v>AI-CORE</v>
      </c>
      <c r="R106">
        <v>2</v>
      </c>
      <c r="S106">
        <v>2</v>
      </c>
      <c r="T106">
        <v>0</v>
      </c>
      <c r="U106">
        <v>2</v>
      </c>
      <c r="V106">
        <v>2</v>
      </c>
      <c r="W106">
        <v>0</v>
      </c>
      <c r="X106">
        <v>14</v>
      </c>
      <c r="Y106" t="s">
        <v>235</v>
      </c>
      <c r="Z106" s="1">
        <v>2</v>
      </c>
      <c r="AA106" s="1">
        <v>2</v>
      </c>
      <c r="AB106" s="1">
        <v>0</v>
      </c>
      <c r="AC106" s="1">
        <v>2</v>
      </c>
      <c r="AD106" s="1">
        <v>2</v>
      </c>
      <c r="AE106" s="1">
        <v>2</v>
      </c>
      <c r="AF106" s="1">
        <v>18</v>
      </c>
      <c r="AG106" s="1" t="s">
        <v>236</v>
      </c>
      <c r="AH106" s="1">
        <f t="shared" si="33"/>
        <v>2</v>
      </c>
      <c r="AI106" s="1">
        <f t="shared" si="33"/>
        <v>2</v>
      </c>
      <c r="AJ106" s="1">
        <f t="shared" si="33"/>
        <v>0</v>
      </c>
      <c r="AK106" s="1">
        <f t="shared" si="33"/>
        <v>2</v>
      </c>
      <c r="AL106" s="1">
        <f t="shared" si="27"/>
        <v>2</v>
      </c>
      <c r="AM106" s="1">
        <f t="shared" si="27"/>
        <v>1.25</v>
      </c>
      <c r="AN106" s="1">
        <f t="shared" si="34"/>
        <v>16.5</v>
      </c>
      <c r="AO106" s="23" t="str">
        <f t="shared" si="32"/>
        <v>AI-CORE</v>
      </c>
    </row>
    <row r="107" spans="1:41" x14ac:dyDescent="0.3">
      <c r="A107" s="7" t="s">
        <v>20</v>
      </c>
      <c r="B107" s="8">
        <v>0</v>
      </c>
      <c r="C107" s="8">
        <v>0</v>
      </c>
      <c r="D107" s="8">
        <v>0</v>
      </c>
      <c r="E107" s="8">
        <v>1</v>
      </c>
      <c r="F107" s="8">
        <v>2</v>
      </c>
      <c r="G107" s="8">
        <v>0</v>
      </c>
      <c r="H107" s="9">
        <f t="shared" si="41"/>
        <v>4</v>
      </c>
      <c r="I107" s="10" t="str">
        <f t="shared" si="42"/>
        <v>AI-ADJACENT</v>
      </c>
      <c r="J107" s="8">
        <v>0</v>
      </c>
      <c r="K107" s="8">
        <v>1</v>
      </c>
      <c r="L107" s="8">
        <v>0</v>
      </c>
      <c r="M107" s="8">
        <v>0</v>
      </c>
      <c r="N107" s="8">
        <v>1</v>
      </c>
      <c r="O107" s="8">
        <v>1</v>
      </c>
      <c r="P107" s="9">
        <f t="shared" si="43"/>
        <v>5</v>
      </c>
      <c r="Q107" s="10" t="str">
        <f t="shared" si="44"/>
        <v>AI-ADJACENT</v>
      </c>
      <c r="R107">
        <v>2</v>
      </c>
      <c r="S107">
        <v>2</v>
      </c>
      <c r="T107">
        <v>0</v>
      </c>
      <c r="U107">
        <v>2</v>
      </c>
      <c r="V107">
        <v>2</v>
      </c>
      <c r="W107">
        <v>0</v>
      </c>
      <c r="X107">
        <v>14</v>
      </c>
      <c r="Y107" t="s">
        <v>235</v>
      </c>
      <c r="Z107" s="1">
        <v>2</v>
      </c>
      <c r="AA107" s="1">
        <v>2</v>
      </c>
      <c r="AB107" s="1">
        <v>0</v>
      </c>
      <c r="AC107" s="1">
        <v>2</v>
      </c>
      <c r="AD107" s="1">
        <v>2</v>
      </c>
      <c r="AE107" s="1">
        <v>2</v>
      </c>
      <c r="AF107" s="1">
        <v>18</v>
      </c>
      <c r="AG107" s="1" t="s">
        <v>236</v>
      </c>
      <c r="AH107" s="1">
        <f t="shared" si="33"/>
        <v>1</v>
      </c>
      <c r="AI107" s="1">
        <f t="shared" si="33"/>
        <v>1.25</v>
      </c>
      <c r="AJ107" s="1">
        <f t="shared" si="33"/>
        <v>0</v>
      </c>
      <c r="AK107" s="1">
        <f t="shared" si="33"/>
        <v>1.25</v>
      </c>
      <c r="AL107" s="1">
        <f t="shared" si="27"/>
        <v>1.75</v>
      </c>
      <c r="AM107" s="1">
        <f t="shared" si="27"/>
        <v>0.75</v>
      </c>
      <c r="AN107" s="1">
        <f t="shared" si="34"/>
        <v>10.25</v>
      </c>
      <c r="AO107" s="23" t="str">
        <f t="shared" si="32"/>
        <v>AI-ENABLED</v>
      </c>
    </row>
    <row r="108" spans="1:41" x14ac:dyDescent="0.3">
      <c r="A108" s="7" t="s">
        <v>27</v>
      </c>
      <c r="B108" s="8">
        <v>0</v>
      </c>
      <c r="C108" s="8">
        <v>0</v>
      </c>
      <c r="D108" s="8">
        <v>0</v>
      </c>
      <c r="E108" s="8">
        <v>1</v>
      </c>
      <c r="F108" s="8">
        <v>2</v>
      </c>
      <c r="G108" s="8">
        <v>2</v>
      </c>
      <c r="H108" s="9">
        <f t="shared" si="41"/>
        <v>8</v>
      </c>
      <c r="I108" s="10" t="str">
        <f t="shared" si="42"/>
        <v>AI-ENABLED</v>
      </c>
      <c r="J108" s="8">
        <v>0</v>
      </c>
      <c r="K108" s="8">
        <v>1</v>
      </c>
      <c r="L108" s="8">
        <v>0</v>
      </c>
      <c r="M108" s="8">
        <v>0</v>
      </c>
      <c r="N108" s="8">
        <v>1</v>
      </c>
      <c r="O108" s="8">
        <v>1</v>
      </c>
      <c r="P108" s="9">
        <f t="shared" si="43"/>
        <v>5</v>
      </c>
      <c r="Q108" s="10" t="str">
        <f t="shared" si="44"/>
        <v>AI-ADJACENT</v>
      </c>
      <c r="R108">
        <v>2</v>
      </c>
      <c r="S108">
        <v>2</v>
      </c>
      <c r="T108">
        <v>1</v>
      </c>
      <c r="U108">
        <v>2</v>
      </c>
      <c r="V108">
        <v>1</v>
      </c>
      <c r="W108">
        <v>1</v>
      </c>
      <c r="X108">
        <v>16</v>
      </c>
      <c r="Y108" t="s">
        <v>235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 t="s">
        <v>234</v>
      </c>
      <c r="AH108" s="1">
        <f t="shared" si="33"/>
        <v>0.5</v>
      </c>
      <c r="AI108" s="1">
        <f t="shared" si="33"/>
        <v>0.75</v>
      </c>
      <c r="AJ108" s="1">
        <f t="shared" si="33"/>
        <v>0.25</v>
      </c>
      <c r="AK108" s="1">
        <f t="shared" si="33"/>
        <v>0.75</v>
      </c>
      <c r="AL108" s="1">
        <f t="shared" si="27"/>
        <v>1</v>
      </c>
      <c r="AM108" s="1">
        <f t="shared" si="27"/>
        <v>1</v>
      </c>
      <c r="AN108" s="1">
        <f t="shared" si="34"/>
        <v>7.25</v>
      </c>
      <c r="AO108" s="23" t="str">
        <f t="shared" si="32"/>
        <v>AI-ENABLED</v>
      </c>
    </row>
    <row r="109" spans="1:41" x14ac:dyDescent="0.3">
      <c r="A109" s="7" t="s">
        <v>120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9">
        <f t="shared" si="41"/>
        <v>0</v>
      </c>
      <c r="I109" s="10" t="str">
        <f t="shared" si="42"/>
        <v>DETERMINIST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9">
        <f t="shared" si="43"/>
        <v>0</v>
      </c>
      <c r="Q109" s="10" t="str">
        <f t="shared" si="44"/>
        <v>DETERMINIST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234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 t="s">
        <v>234</v>
      </c>
      <c r="AH109" s="1">
        <f t="shared" si="33"/>
        <v>0</v>
      </c>
      <c r="AI109" s="1">
        <f t="shared" si="33"/>
        <v>0</v>
      </c>
      <c r="AJ109" s="1">
        <f t="shared" si="33"/>
        <v>0</v>
      </c>
      <c r="AK109" s="1">
        <f t="shared" si="33"/>
        <v>0</v>
      </c>
      <c r="AL109" s="1">
        <f t="shared" si="27"/>
        <v>0</v>
      </c>
      <c r="AM109" s="1">
        <f t="shared" si="27"/>
        <v>0</v>
      </c>
      <c r="AN109" s="1">
        <f t="shared" si="34"/>
        <v>0</v>
      </c>
      <c r="AO109" s="23" t="str">
        <f t="shared" si="32"/>
        <v>DETERMINIST</v>
      </c>
    </row>
    <row r="110" spans="1:41" x14ac:dyDescent="0.3">
      <c r="A110" s="13" t="s">
        <v>145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9">
        <f t="shared" si="41"/>
        <v>0</v>
      </c>
      <c r="I110" s="10" t="str">
        <f t="shared" si="42"/>
        <v>DETERMINIST</v>
      </c>
      <c r="J110" s="8">
        <v>1</v>
      </c>
      <c r="K110" s="8">
        <v>0</v>
      </c>
      <c r="L110" s="8">
        <v>0</v>
      </c>
      <c r="M110" s="8">
        <v>1</v>
      </c>
      <c r="N110" s="8">
        <v>0</v>
      </c>
      <c r="O110" s="8">
        <v>0</v>
      </c>
      <c r="P110" s="9">
        <f t="shared" si="43"/>
        <v>4</v>
      </c>
      <c r="Q110" s="10" t="str">
        <f t="shared" si="44"/>
        <v>AI-ADJACENT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2</v>
      </c>
      <c r="Y110" t="s">
        <v>234</v>
      </c>
      <c r="Z110" s="1">
        <v>0</v>
      </c>
      <c r="AA110" s="1">
        <v>1</v>
      </c>
      <c r="AB110" s="1">
        <v>0</v>
      </c>
      <c r="AC110" s="1">
        <v>0</v>
      </c>
      <c r="AD110" s="1">
        <v>0</v>
      </c>
      <c r="AE110" s="1">
        <v>0</v>
      </c>
      <c r="AF110" s="1">
        <v>2</v>
      </c>
      <c r="AG110" s="1" t="s">
        <v>234</v>
      </c>
      <c r="AH110" s="1">
        <f t="shared" si="33"/>
        <v>0.25</v>
      </c>
      <c r="AI110" s="1">
        <f t="shared" si="33"/>
        <v>0.5</v>
      </c>
      <c r="AJ110" s="1">
        <f t="shared" si="33"/>
        <v>0</v>
      </c>
      <c r="AK110" s="1">
        <f t="shared" si="33"/>
        <v>0.25</v>
      </c>
      <c r="AL110" s="1">
        <f t="shared" si="27"/>
        <v>0</v>
      </c>
      <c r="AM110" s="1">
        <f t="shared" si="27"/>
        <v>0</v>
      </c>
      <c r="AN110" s="1">
        <f t="shared" si="34"/>
        <v>2</v>
      </c>
      <c r="AO110" s="23" t="str">
        <f t="shared" si="32"/>
        <v>DETERMINIST</v>
      </c>
    </row>
    <row r="111" spans="1:41" x14ac:dyDescent="0.3">
      <c r="A111" s="20" t="s">
        <v>111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9">
        <f t="shared" si="41"/>
        <v>0</v>
      </c>
      <c r="I111" s="10" t="str">
        <f t="shared" si="42"/>
        <v>DETERMINIST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9">
        <f t="shared" si="43"/>
        <v>0</v>
      </c>
      <c r="Q111" s="10" t="str">
        <f t="shared" si="44"/>
        <v>DETERMINIST</v>
      </c>
      <c r="R111">
        <v>0</v>
      </c>
      <c r="S111">
        <v>2</v>
      </c>
      <c r="T111">
        <v>1</v>
      </c>
      <c r="U111">
        <v>0</v>
      </c>
      <c r="V111">
        <v>1</v>
      </c>
      <c r="W111">
        <v>0</v>
      </c>
      <c r="X111">
        <v>6</v>
      </c>
      <c r="Y111" t="s">
        <v>233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 t="s">
        <v>234</v>
      </c>
      <c r="AH111" s="1">
        <f t="shared" si="33"/>
        <v>0</v>
      </c>
      <c r="AI111" s="1">
        <f t="shared" si="33"/>
        <v>0.5</v>
      </c>
      <c r="AJ111" s="1">
        <f t="shared" si="33"/>
        <v>0.25</v>
      </c>
      <c r="AK111" s="1">
        <f t="shared" si="33"/>
        <v>0</v>
      </c>
      <c r="AL111" s="1">
        <f t="shared" si="27"/>
        <v>0.25</v>
      </c>
      <c r="AM111" s="1">
        <f t="shared" si="27"/>
        <v>0</v>
      </c>
      <c r="AN111" s="1">
        <f t="shared" si="34"/>
        <v>1.5</v>
      </c>
      <c r="AO111" s="23" t="str">
        <f t="shared" si="32"/>
        <v>DETERMINIST</v>
      </c>
    </row>
    <row r="112" spans="1:41" x14ac:dyDescent="0.3">
      <c r="A112" s="15" t="s">
        <v>74</v>
      </c>
      <c r="B112" s="8">
        <v>1</v>
      </c>
      <c r="C112" s="8">
        <v>1</v>
      </c>
      <c r="D112" s="8">
        <v>0</v>
      </c>
      <c r="E112" s="8">
        <v>1</v>
      </c>
      <c r="F112" s="8">
        <v>0</v>
      </c>
      <c r="G112" s="8">
        <v>0</v>
      </c>
      <c r="H112" s="9">
        <f t="shared" si="41"/>
        <v>6</v>
      </c>
      <c r="I112" s="10" t="str">
        <f t="shared" si="42"/>
        <v>AI-ADJACENT</v>
      </c>
      <c r="J112" s="8">
        <v>1</v>
      </c>
      <c r="K112" s="8">
        <v>1</v>
      </c>
      <c r="L112" s="8">
        <v>0</v>
      </c>
      <c r="M112" s="8">
        <v>1</v>
      </c>
      <c r="N112" s="8">
        <v>1</v>
      </c>
      <c r="O112" s="8">
        <v>0</v>
      </c>
      <c r="P112" s="9">
        <f t="shared" si="43"/>
        <v>7</v>
      </c>
      <c r="Q112" s="10" t="str">
        <f t="shared" si="44"/>
        <v>AI-ENABLED</v>
      </c>
      <c r="R112">
        <v>2</v>
      </c>
      <c r="S112">
        <v>2</v>
      </c>
      <c r="T112">
        <v>0</v>
      </c>
      <c r="U112">
        <v>2</v>
      </c>
      <c r="V112">
        <v>0</v>
      </c>
      <c r="W112">
        <v>0</v>
      </c>
      <c r="X112">
        <v>12</v>
      </c>
      <c r="Y112" t="s">
        <v>235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 t="s">
        <v>234</v>
      </c>
      <c r="AH112" s="1">
        <f t="shared" si="33"/>
        <v>1</v>
      </c>
      <c r="AI112" s="1">
        <f t="shared" si="33"/>
        <v>1</v>
      </c>
      <c r="AJ112" s="1">
        <f t="shared" si="33"/>
        <v>0</v>
      </c>
      <c r="AK112" s="1">
        <f t="shared" si="33"/>
        <v>1</v>
      </c>
      <c r="AL112" s="1">
        <f t="shared" si="27"/>
        <v>0.25</v>
      </c>
      <c r="AM112" s="1">
        <f t="shared" si="27"/>
        <v>0</v>
      </c>
      <c r="AN112" s="1">
        <f t="shared" si="34"/>
        <v>6.25</v>
      </c>
      <c r="AO112" s="23" t="str">
        <f t="shared" si="32"/>
        <v>AI-ENABLED</v>
      </c>
    </row>
    <row r="113" spans="1:41" x14ac:dyDescent="0.3">
      <c r="A113" s="18" t="s">
        <v>92</v>
      </c>
      <c r="B113" s="8">
        <v>2</v>
      </c>
      <c r="C113" s="8">
        <v>2</v>
      </c>
      <c r="D113" s="8">
        <v>0</v>
      </c>
      <c r="E113" s="8">
        <v>2</v>
      </c>
      <c r="F113" s="8">
        <v>0</v>
      </c>
      <c r="G113" s="8">
        <v>0</v>
      </c>
      <c r="H113" s="9">
        <f t="shared" si="41"/>
        <v>12</v>
      </c>
      <c r="I113" s="10" t="str">
        <f t="shared" si="42"/>
        <v>AI-CORE</v>
      </c>
      <c r="J113" s="8">
        <v>2</v>
      </c>
      <c r="K113" s="8">
        <v>2</v>
      </c>
      <c r="L113" s="8">
        <v>0</v>
      </c>
      <c r="M113" s="8">
        <v>2</v>
      </c>
      <c r="N113" s="8">
        <v>1</v>
      </c>
      <c r="O113" s="8">
        <v>1</v>
      </c>
      <c r="P113" s="9">
        <f t="shared" si="43"/>
        <v>15</v>
      </c>
      <c r="Q113" s="10" t="str">
        <f t="shared" si="44"/>
        <v>AI-CORE</v>
      </c>
      <c r="R113">
        <v>2</v>
      </c>
      <c r="S113">
        <v>2</v>
      </c>
      <c r="T113">
        <v>0</v>
      </c>
      <c r="U113">
        <v>2</v>
      </c>
      <c r="V113">
        <v>0</v>
      </c>
      <c r="W113">
        <v>0</v>
      </c>
      <c r="X113">
        <v>12</v>
      </c>
      <c r="Y113" t="s">
        <v>235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 t="s">
        <v>234</v>
      </c>
      <c r="AH113" s="1">
        <f t="shared" si="33"/>
        <v>1.5</v>
      </c>
      <c r="AI113" s="1">
        <f t="shared" si="33"/>
        <v>1.5</v>
      </c>
      <c r="AJ113" s="1">
        <f t="shared" si="33"/>
        <v>0</v>
      </c>
      <c r="AK113" s="1">
        <f t="shared" si="33"/>
        <v>1.5</v>
      </c>
      <c r="AL113" s="1">
        <f t="shared" si="27"/>
        <v>0.25</v>
      </c>
      <c r="AM113" s="1">
        <f t="shared" si="27"/>
        <v>0.25</v>
      </c>
      <c r="AN113" s="1">
        <f t="shared" si="34"/>
        <v>9.75</v>
      </c>
      <c r="AO113" s="23" t="str">
        <f t="shared" si="32"/>
        <v>AI-ENABLED</v>
      </c>
    </row>
    <row r="114" spans="1:41" x14ac:dyDescent="0.3">
      <c r="A114" s="13" t="s">
        <v>142</v>
      </c>
      <c r="B114" s="8">
        <v>0</v>
      </c>
      <c r="C114" s="8">
        <v>1</v>
      </c>
      <c r="D114" s="8">
        <v>0</v>
      </c>
      <c r="E114" s="8">
        <v>1</v>
      </c>
      <c r="F114" s="8">
        <v>0</v>
      </c>
      <c r="G114" s="8">
        <v>0</v>
      </c>
      <c r="H114" s="9">
        <f t="shared" si="41"/>
        <v>4</v>
      </c>
      <c r="I114" s="10" t="str">
        <f t="shared" si="42"/>
        <v>AI-ADJACENT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9">
        <f t="shared" si="43"/>
        <v>0</v>
      </c>
      <c r="Q114" s="10" t="str">
        <f t="shared" si="44"/>
        <v>DETERMINIST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2</v>
      </c>
      <c r="Y114" t="s">
        <v>234</v>
      </c>
      <c r="Z114" s="1">
        <v>0</v>
      </c>
      <c r="AA114" s="1">
        <v>1</v>
      </c>
      <c r="AB114" s="1">
        <v>0</v>
      </c>
      <c r="AC114" s="1">
        <v>0</v>
      </c>
      <c r="AD114" s="1">
        <v>0</v>
      </c>
      <c r="AE114" s="1">
        <v>0</v>
      </c>
      <c r="AF114" s="1">
        <v>2</v>
      </c>
      <c r="AG114" s="1" t="s">
        <v>234</v>
      </c>
      <c r="AH114" s="1">
        <f t="shared" si="33"/>
        <v>0</v>
      </c>
      <c r="AI114" s="1">
        <f t="shared" si="33"/>
        <v>0.75</v>
      </c>
      <c r="AJ114" s="1">
        <f t="shared" si="33"/>
        <v>0</v>
      </c>
      <c r="AK114" s="1">
        <f t="shared" si="33"/>
        <v>0.25</v>
      </c>
      <c r="AL114" s="1">
        <f t="shared" si="27"/>
        <v>0</v>
      </c>
      <c r="AM114" s="1">
        <f t="shared" si="27"/>
        <v>0</v>
      </c>
      <c r="AN114" s="1">
        <f t="shared" si="34"/>
        <v>2</v>
      </c>
      <c r="AO114" s="23" t="str">
        <f t="shared" si="32"/>
        <v>DETERMINIST</v>
      </c>
    </row>
    <row r="115" spans="1:41" x14ac:dyDescent="0.3">
      <c r="A115" s="11" t="s">
        <v>124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9">
        <f t="shared" si="41"/>
        <v>0</v>
      </c>
      <c r="I115" s="10" t="str">
        <f t="shared" si="42"/>
        <v>DETERMINIST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9">
        <f t="shared" si="43"/>
        <v>0</v>
      </c>
      <c r="Q115" s="10" t="str">
        <f t="shared" si="44"/>
        <v>DETERMINIST</v>
      </c>
      <c r="R115">
        <v>0</v>
      </c>
      <c r="S115">
        <v>2</v>
      </c>
      <c r="T115">
        <v>1</v>
      </c>
      <c r="U115">
        <v>0</v>
      </c>
      <c r="V115">
        <v>1</v>
      </c>
      <c r="W115">
        <v>1</v>
      </c>
      <c r="X115">
        <v>8</v>
      </c>
      <c r="Y115" t="s">
        <v>232</v>
      </c>
      <c r="Z115" s="1">
        <v>0</v>
      </c>
      <c r="AA115" s="1">
        <v>1</v>
      </c>
      <c r="AB115" s="1">
        <v>0</v>
      </c>
      <c r="AC115" s="1">
        <v>0</v>
      </c>
      <c r="AD115" s="1">
        <v>0</v>
      </c>
      <c r="AE115" s="1">
        <v>0</v>
      </c>
      <c r="AF115" s="1">
        <v>2</v>
      </c>
      <c r="AG115" s="1" t="s">
        <v>234</v>
      </c>
      <c r="AH115" s="1">
        <f t="shared" si="33"/>
        <v>0</v>
      </c>
      <c r="AI115" s="1">
        <f t="shared" si="33"/>
        <v>0.75</v>
      </c>
      <c r="AJ115" s="1">
        <f t="shared" si="33"/>
        <v>0.25</v>
      </c>
      <c r="AK115" s="1">
        <f t="shared" si="33"/>
        <v>0</v>
      </c>
      <c r="AL115" s="1">
        <f t="shared" si="27"/>
        <v>0.25</v>
      </c>
      <c r="AM115" s="1">
        <f t="shared" si="27"/>
        <v>0.25</v>
      </c>
      <c r="AN115" s="1">
        <f t="shared" si="34"/>
        <v>2.5</v>
      </c>
      <c r="AO115" s="23" t="str">
        <f t="shared" si="32"/>
        <v>AI-ADJACENT</v>
      </c>
    </row>
    <row r="116" spans="1:41" x14ac:dyDescent="0.3">
      <c r="A116" s="11" t="s">
        <v>33</v>
      </c>
      <c r="B116" s="8">
        <v>2</v>
      </c>
      <c r="C116" s="8">
        <v>2</v>
      </c>
      <c r="D116" s="8">
        <v>0</v>
      </c>
      <c r="E116" s="8">
        <v>2</v>
      </c>
      <c r="F116" s="8">
        <v>2</v>
      </c>
      <c r="G116" s="8">
        <v>2</v>
      </c>
      <c r="H116" s="9">
        <f t="shared" si="41"/>
        <v>18</v>
      </c>
      <c r="I116" s="10" t="str">
        <f t="shared" si="42"/>
        <v>AI-NATIVE</v>
      </c>
      <c r="J116" s="8">
        <v>2</v>
      </c>
      <c r="K116" s="8">
        <v>2</v>
      </c>
      <c r="L116" s="8">
        <v>1</v>
      </c>
      <c r="M116" s="8">
        <v>2</v>
      </c>
      <c r="N116" s="8">
        <v>2</v>
      </c>
      <c r="O116" s="8">
        <v>2</v>
      </c>
      <c r="P116" s="9">
        <f t="shared" si="43"/>
        <v>19</v>
      </c>
      <c r="Q116" s="10" t="str">
        <f t="shared" si="44"/>
        <v>AI-NATIVE</v>
      </c>
      <c r="R116">
        <v>2</v>
      </c>
      <c r="S116">
        <v>2</v>
      </c>
      <c r="T116">
        <v>0</v>
      </c>
      <c r="U116">
        <v>2</v>
      </c>
      <c r="V116">
        <v>2</v>
      </c>
      <c r="W116">
        <v>2</v>
      </c>
      <c r="X116" s="9">
        <f t="shared" ref="X116" si="49">R116*2+S116*2+T116+U116*2+V116+W116*2</f>
        <v>18</v>
      </c>
      <c r="Y116" s="10" t="str">
        <f t="shared" ref="Y116" si="50">IF(X116="","",IF(X116&lt;=2,"DETERMINIST",IF(X116&lt;=6,"AI-ADJACENT",IF(X116&lt;=11,"AI-ENABLED",IF(X116&lt;=17,"AI-CORE","AI-NATIVE")))))</f>
        <v>AI-NATIVE</v>
      </c>
      <c r="Z116" s="1">
        <v>2</v>
      </c>
      <c r="AA116" s="1">
        <v>1</v>
      </c>
      <c r="AB116" s="1">
        <v>2</v>
      </c>
      <c r="AC116" s="1">
        <v>1</v>
      </c>
      <c r="AD116" s="1">
        <v>2</v>
      </c>
      <c r="AE116" s="1">
        <v>2</v>
      </c>
      <c r="AF116" s="9">
        <f t="shared" ref="AF116" si="51">Z116*2+AA116*2+AB116+AC116*2+AD116+AE116*2</f>
        <v>16</v>
      </c>
      <c r="AG116" s="10" t="str">
        <f t="shared" ref="AG116" si="52">IF(AF116="","",IF(AF116&lt;=2,"DETERMINIST",IF(AF116&lt;=6,"AI-ADJACENT",IF(AF116&lt;=11,"AI-ENABLED",IF(AF116&lt;=17,"AI-CORE","AI-NATIVE")))))</f>
        <v>AI-CORE</v>
      </c>
      <c r="AH116" s="1">
        <f t="shared" si="33"/>
        <v>2</v>
      </c>
      <c r="AI116" s="1">
        <f t="shared" si="33"/>
        <v>1.75</v>
      </c>
      <c r="AJ116" s="1">
        <f t="shared" si="33"/>
        <v>0.75</v>
      </c>
      <c r="AK116" s="1">
        <f t="shared" si="33"/>
        <v>1.75</v>
      </c>
      <c r="AL116" s="1">
        <f t="shared" si="27"/>
        <v>2</v>
      </c>
      <c r="AM116" s="1">
        <f t="shared" si="27"/>
        <v>2</v>
      </c>
      <c r="AN116" s="1">
        <f t="shared" si="34"/>
        <v>17.75</v>
      </c>
      <c r="AO116" s="23" t="str">
        <f t="shared" si="32"/>
        <v>AI-NATIVE</v>
      </c>
    </row>
    <row r="117" spans="1:41" x14ac:dyDescent="0.3">
      <c r="A117" s="18" t="s">
        <v>181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9">
        <f t="shared" si="41"/>
        <v>0</v>
      </c>
      <c r="I117" s="10" t="str">
        <f t="shared" si="42"/>
        <v>DETERMINIST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9">
        <f t="shared" si="43"/>
        <v>0</v>
      </c>
      <c r="Q117" s="10" t="str">
        <f t="shared" si="44"/>
        <v>DETERMINIST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2</v>
      </c>
      <c r="Y117" t="s">
        <v>234</v>
      </c>
      <c r="Z117" s="1">
        <v>0</v>
      </c>
      <c r="AA117" s="1">
        <v>0</v>
      </c>
      <c r="AB117" s="1">
        <v>0</v>
      </c>
      <c r="AC117" s="1">
        <v>2</v>
      </c>
      <c r="AD117" s="1">
        <v>0</v>
      </c>
      <c r="AE117" s="1">
        <v>0</v>
      </c>
      <c r="AF117" s="1">
        <v>4</v>
      </c>
      <c r="AG117" s="1" t="s">
        <v>233</v>
      </c>
      <c r="AH117" s="1">
        <f t="shared" si="33"/>
        <v>0</v>
      </c>
      <c r="AI117" s="1">
        <f t="shared" si="33"/>
        <v>0.25</v>
      </c>
      <c r="AJ117" s="1">
        <f t="shared" si="33"/>
        <v>0</v>
      </c>
      <c r="AK117" s="1">
        <f t="shared" si="33"/>
        <v>0.5</v>
      </c>
      <c r="AL117" s="1">
        <f t="shared" si="27"/>
        <v>0</v>
      </c>
      <c r="AM117" s="1">
        <f t="shared" si="27"/>
        <v>0</v>
      </c>
      <c r="AN117" s="1">
        <f t="shared" si="34"/>
        <v>1.5</v>
      </c>
      <c r="AO117" s="23" t="str">
        <f t="shared" si="32"/>
        <v>DETERMINIST</v>
      </c>
    </row>
    <row r="118" spans="1:41" x14ac:dyDescent="0.3">
      <c r="A118" s="20" t="s">
        <v>105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9">
        <f t="shared" si="41"/>
        <v>0</v>
      </c>
      <c r="I118" s="10" t="str">
        <f t="shared" si="42"/>
        <v>DETERMINIST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9">
        <f t="shared" si="43"/>
        <v>0</v>
      </c>
      <c r="Q118" s="10" t="str">
        <f t="shared" si="44"/>
        <v>DETERMINIST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234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 t="s">
        <v>234</v>
      </c>
      <c r="AH118" s="1">
        <f t="shared" si="33"/>
        <v>0</v>
      </c>
      <c r="AI118" s="1">
        <f t="shared" si="33"/>
        <v>0</v>
      </c>
      <c r="AJ118" s="1">
        <f t="shared" si="33"/>
        <v>0</v>
      </c>
      <c r="AK118" s="1">
        <f t="shared" si="33"/>
        <v>0</v>
      </c>
      <c r="AL118" s="1">
        <f t="shared" si="27"/>
        <v>0</v>
      </c>
      <c r="AM118" s="1">
        <f t="shared" si="27"/>
        <v>0</v>
      </c>
      <c r="AN118" s="1">
        <f t="shared" si="34"/>
        <v>0</v>
      </c>
      <c r="AO118" s="23" t="str">
        <f t="shared" si="32"/>
        <v>DETERMINIST</v>
      </c>
    </row>
    <row r="119" spans="1:41" x14ac:dyDescent="0.3">
      <c r="A119" s="18" t="s">
        <v>97</v>
      </c>
      <c r="B119" s="8">
        <v>2</v>
      </c>
      <c r="C119" s="8">
        <v>2</v>
      </c>
      <c r="D119" s="8">
        <v>1</v>
      </c>
      <c r="E119" s="8">
        <v>2</v>
      </c>
      <c r="F119" s="8">
        <v>1</v>
      </c>
      <c r="G119" s="8">
        <v>1</v>
      </c>
      <c r="H119" s="9">
        <f t="shared" si="41"/>
        <v>16</v>
      </c>
      <c r="I119" s="10" t="str">
        <f t="shared" si="42"/>
        <v>AI-CORE</v>
      </c>
      <c r="J119" s="8">
        <v>2</v>
      </c>
      <c r="K119" s="8">
        <v>2</v>
      </c>
      <c r="L119" s="8">
        <v>0</v>
      </c>
      <c r="M119" s="8">
        <v>2</v>
      </c>
      <c r="N119" s="8">
        <v>1</v>
      </c>
      <c r="O119" s="8">
        <v>1</v>
      </c>
      <c r="P119" s="9">
        <f t="shared" si="43"/>
        <v>15</v>
      </c>
      <c r="Q119" s="10" t="str">
        <f t="shared" si="44"/>
        <v>AI-CORE</v>
      </c>
      <c r="R119">
        <v>2</v>
      </c>
      <c r="S119">
        <v>2</v>
      </c>
      <c r="T119">
        <v>0</v>
      </c>
      <c r="U119">
        <v>2</v>
      </c>
      <c r="V119">
        <v>1</v>
      </c>
      <c r="W119">
        <v>0</v>
      </c>
      <c r="X119">
        <v>13</v>
      </c>
      <c r="Y119" t="s">
        <v>235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 t="s">
        <v>234</v>
      </c>
      <c r="AH119" s="1">
        <f t="shared" si="33"/>
        <v>1.5</v>
      </c>
      <c r="AI119" s="1">
        <f t="shared" si="33"/>
        <v>1.5</v>
      </c>
      <c r="AJ119" s="1">
        <f t="shared" si="33"/>
        <v>0.25</v>
      </c>
      <c r="AK119" s="1">
        <f t="shared" si="33"/>
        <v>1.5</v>
      </c>
      <c r="AL119" s="1">
        <f t="shared" si="27"/>
        <v>0.75</v>
      </c>
      <c r="AM119" s="1">
        <f t="shared" si="27"/>
        <v>0.5</v>
      </c>
      <c r="AN119" s="1">
        <f t="shared" si="34"/>
        <v>11</v>
      </c>
      <c r="AO119" s="23" t="str">
        <f t="shared" si="32"/>
        <v>AI-ENABLED</v>
      </c>
    </row>
    <row r="120" spans="1:41" x14ac:dyDescent="0.3">
      <c r="A120" s="15" t="s">
        <v>71</v>
      </c>
      <c r="B120" s="8">
        <v>2</v>
      </c>
      <c r="C120" s="8">
        <v>2</v>
      </c>
      <c r="D120" s="8">
        <v>0</v>
      </c>
      <c r="E120" s="8">
        <v>2</v>
      </c>
      <c r="F120" s="8">
        <v>2</v>
      </c>
      <c r="G120" s="8">
        <v>1</v>
      </c>
      <c r="H120" s="9">
        <f t="shared" si="41"/>
        <v>16</v>
      </c>
      <c r="I120" s="10" t="str">
        <f t="shared" si="42"/>
        <v>AI-CORE</v>
      </c>
      <c r="J120" s="8">
        <v>2</v>
      </c>
      <c r="K120" s="8">
        <v>2</v>
      </c>
      <c r="L120" s="8">
        <v>0</v>
      </c>
      <c r="M120" s="8">
        <v>2</v>
      </c>
      <c r="N120" s="8">
        <v>2</v>
      </c>
      <c r="O120" s="8">
        <v>1</v>
      </c>
      <c r="P120" s="9">
        <f t="shared" si="43"/>
        <v>16</v>
      </c>
      <c r="Q120" s="10" t="str">
        <f t="shared" si="44"/>
        <v>AI-CORE</v>
      </c>
      <c r="R120">
        <v>2</v>
      </c>
      <c r="S120">
        <v>2</v>
      </c>
      <c r="T120">
        <v>0</v>
      </c>
      <c r="U120">
        <v>2</v>
      </c>
      <c r="V120">
        <v>2</v>
      </c>
      <c r="W120">
        <v>0</v>
      </c>
      <c r="X120">
        <v>14</v>
      </c>
      <c r="Y120" t="s">
        <v>235</v>
      </c>
      <c r="Z120" s="1">
        <v>2</v>
      </c>
      <c r="AA120" s="1">
        <v>2</v>
      </c>
      <c r="AB120" s="1">
        <v>0</v>
      </c>
      <c r="AC120" s="1">
        <v>2</v>
      </c>
      <c r="AD120" s="1">
        <v>2</v>
      </c>
      <c r="AE120" s="1">
        <v>2</v>
      </c>
      <c r="AF120" s="1">
        <v>18</v>
      </c>
      <c r="AG120" s="1" t="s">
        <v>236</v>
      </c>
      <c r="AH120" s="1">
        <f t="shared" si="33"/>
        <v>2</v>
      </c>
      <c r="AI120" s="1">
        <f t="shared" si="33"/>
        <v>2</v>
      </c>
      <c r="AJ120" s="1">
        <f t="shared" si="33"/>
        <v>0</v>
      </c>
      <c r="AK120" s="1">
        <f t="shared" si="33"/>
        <v>2</v>
      </c>
      <c r="AL120" s="1">
        <f t="shared" si="27"/>
        <v>2</v>
      </c>
      <c r="AM120" s="1">
        <f t="shared" si="27"/>
        <v>1</v>
      </c>
      <c r="AN120" s="1">
        <f t="shared" si="34"/>
        <v>16</v>
      </c>
      <c r="AO120" s="23" t="str">
        <f t="shared" si="32"/>
        <v>AI-CORE</v>
      </c>
    </row>
    <row r="121" spans="1:41" x14ac:dyDescent="0.3">
      <c r="A121" s="17" t="s">
        <v>172</v>
      </c>
      <c r="B121" s="8">
        <v>0</v>
      </c>
      <c r="C121" s="8">
        <v>0</v>
      </c>
      <c r="D121" s="8">
        <v>0</v>
      </c>
      <c r="E121" s="8">
        <v>0</v>
      </c>
      <c r="F121" s="8">
        <v>1</v>
      </c>
      <c r="G121" s="8">
        <v>1</v>
      </c>
      <c r="H121" s="9">
        <f t="shared" si="41"/>
        <v>3</v>
      </c>
      <c r="I121" s="10" t="str">
        <f t="shared" si="42"/>
        <v>AI-ADJACENT</v>
      </c>
      <c r="J121" s="8">
        <v>0</v>
      </c>
      <c r="K121" s="8">
        <v>0</v>
      </c>
      <c r="L121" s="8">
        <v>0</v>
      </c>
      <c r="M121" s="8">
        <v>0</v>
      </c>
      <c r="N121" s="8">
        <v>1</v>
      </c>
      <c r="O121" s="8">
        <v>1</v>
      </c>
      <c r="P121" s="9">
        <f t="shared" si="43"/>
        <v>3</v>
      </c>
      <c r="Q121" s="10" t="str">
        <f t="shared" si="44"/>
        <v>AI-ADJACENT</v>
      </c>
      <c r="R121">
        <v>2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7</v>
      </c>
      <c r="Y121" t="s">
        <v>232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 t="s">
        <v>234</v>
      </c>
      <c r="AH121" s="1">
        <f t="shared" si="33"/>
        <v>0.5</v>
      </c>
      <c r="AI121" s="1">
        <f t="shared" si="33"/>
        <v>0.25</v>
      </c>
      <c r="AJ121" s="1">
        <f t="shared" si="33"/>
        <v>0</v>
      </c>
      <c r="AK121" s="1">
        <f t="shared" si="33"/>
        <v>0</v>
      </c>
      <c r="AL121" s="1">
        <f t="shared" si="27"/>
        <v>0.75</v>
      </c>
      <c r="AM121" s="1">
        <f t="shared" si="27"/>
        <v>0.5</v>
      </c>
      <c r="AN121" s="1">
        <f t="shared" si="34"/>
        <v>3.25</v>
      </c>
      <c r="AO121" s="23" t="str">
        <f t="shared" si="32"/>
        <v>AI-ADJACENT</v>
      </c>
    </row>
    <row r="122" spans="1:41" x14ac:dyDescent="0.3">
      <c r="A122" s="12" t="s">
        <v>139</v>
      </c>
      <c r="B122" s="8">
        <v>2</v>
      </c>
      <c r="C122" s="8">
        <v>2</v>
      </c>
      <c r="D122" s="8">
        <v>0</v>
      </c>
      <c r="E122" s="8">
        <v>2</v>
      </c>
      <c r="F122" s="8">
        <v>1</v>
      </c>
      <c r="G122" s="8">
        <v>1</v>
      </c>
      <c r="H122" s="9">
        <f t="shared" si="41"/>
        <v>15</v>
      </c>
      <c r="I122" s="10" t="str">
        <f t="shared" si="42"/>
        <v>AI-CORE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9">
        <f t="shared" si="43"/>
        <v>0</v>
      </c>
      <c r="Q122" s="10" t="str">
        <f t="shared" si="44"/>
        <v>DETERMINIST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4</v>
      </c>
      <c r="Y122" t="s">
        <v>233</v>
      </c>
      <c r="Z122" s="1">
        <v>2</v>
      </c>
      <c r="AA122" s="1">
        <v>2</v>
      </c>
      <c r="AB122" s="1">
        <v>0</v>
      </c>
      <c r="AC122" s="1">
        <v>2</v>
      </c>
      <c r="AD122" s="1">
        <v>2</v>
      </c>
      <c r="AE122" s="1">
        <v>1</v>
      </c>
      <c r="AF122" s="1">
        <v>16</v>
      </c>
      <c r="AG122" s="1" t="s">
        <v>235</v>
      </c>
      <c r="AH122" s="1">
        <f t="shared" si="33"/>
        <v>1</v>
      </c>
      <c r="AI122" s="1">
        <f t="shared" si="33"/>
        <v>1</v>
      </c>
      <c r="AJ122" s="1">
        <f t="shared" si="33"/>
        <v>0.25</v>
      </c>
      <c r="AK122" s="1">
        <f t="shared" si="33"/>
        <v>1</v>
      </c>
      <c r="AL122" s="1">
        <f t="shared" si="27"/>
        <v>1</v>
      </c>
      <c r="AM122" s="1">
        <f t="shared" si="27"/>
        <v>0.75</v>
      </c>
      <c r="AN122" s="1">
        <f t="shared" si="34"/>
        <v>8.75</v>
      </c>
      <c r="AO122" s="23" t="str">
        <f t="shared" si="32"/>
        <v>AI-ENABLED</v>
      </c>
    </row>
    <row r="123" spans="1:41" x14ac:dyDescent="0.3">
      <c r="A123" s="11" t="s">
        <v>39</v>
      </c>
      <c r="B123" s="8">
        <v>1</v>
      </c>
      <c r="C123" s="8">
        <v>1</v>
      </c>
      <c r="D123" s="8">
        <v>0</v>
      </c>
      <c r="E123" s="8">
        <v>1</v>
      </c>
      <c r="F123" s="8">
        <v>1</v>
      </c>
      <c r="G123" s="8">
        <v>1</v>
      </c>
      <c r="H123" s="9">
        <f t="shared" si="41"/>
        <v>9</v>
      </c>
      <c r="I123" s="10" t="str">
        <f t="shared" si="42"/>
        <v>AI-ENABLED</v>
      </c>
      <c r="J123" s="8">
        <v>2</v>
      </c>
      <c r="K123" s="8">
        <v>2</v>
      </c>
      <c r="L123" s="8">
        <v>1</v>
      </c>
      <c r="M123" s="8">
        <v>2</v>
      </c>
      <c r="N123" s="8">
        <v>2</v>
      </c>
      <c r="O123" s="8">
        <v>2</v>
      </c>
      <c r="P123" s="9">
        <f t="shared" si="43"/>
        <v>19</v>
      </c>
      <c r="Q123" s="10" t="str">
        <f t="shared" si="44"/>
        <v>AI-NATIVE</v>
      </c>
      <c r="R123">
        <v>0</v>
      </c>
      <c r="S123">
        <v>2</v>
      </c>
      <c r="T123">
        <v>1</v>
      </c>
      <c r="U123">
        <v>0</v>
      </c>
      <c r="V123">
        <v>1</v>
      </c>
      <c r="W123">
        <v>2</v>
      </c>
      <c r="X123">
        <v>10</v>
      </c>
      <c r="Y123" t="s">
        <v>232</v>
      </c>
      <c r="Z123" s="1">
        <v>2</v>
      </c>
      <c r="AA123" s="1">
        <v>2</v>
      </c>
      <c r="AB123" s="1">
        <v>0</v>
      </c>
      <c r="AC123" s="1">
        <v>2</v>
      </c>
      <c r="AD123" s="1">
        <v>2</v>
      </c>
      <c r="AE123" s="1">
        <v>2</v>
      </c>
      <c r="AF123" s="1">
        <v>18</v>
      </c>
      <c r="AG123" s="1" t="s">
        <v>236</v>
      </c>
      <c r="AH123" s="1">
        <f t="shared" si="33"/>
        <v>1.25</v>
      </c>
      <c r="AI123" s="1">
        <f t="shared" si="33"/>
        <v>1.75</v>
      </c>
      <c r="AJ123" s="1">
        <f t="shared" si="33"/>
        <v>0.5</v>
      </c>
      <c r="AK123" s="1">
        <f t="shared" si="33"/>
        <v>1.25</v>
      </c>
      <c r="AL123" s="1">
        <f t="shared" si="27"/>
        <v>1.5</v>
      </c>
      <c r="AM123" s="1">
        <f t="shared" si="27"/>
        <v>1.75</v>
      </c>
      <c r="AN123" s="1">
        <f t="shared" si="34"/>
        <v>14</v>
      </c>
      <c r="AO123" s="23" t="str">
        <f t="shared" si="32"/>
        <v>AI-CORE</v>
      </c>
    </row>
    <row r="124" spans="1:41" x14ac:dyDescent="0.3">
      <c r="A124" s="21" t="s">
        <v>227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9">
        <f t="shared" si="41"/>
        <v>0</v>
      </c>
      <c r="I124" s="10" t="str">
        <f t="shared" si="42"/>
        <v>DETERMINIST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9">
        <f t="shared" si="43"/>
        <v>0</v>
      </c>
      <c r="Q124" s="10" t="str">
        <f t="shared" si="44"/>
        <v>DETERMINIST</v>
      </c>
      <c r="R124">
        <v>2</v>
      </c>
      <c r="S124">
        <v>2</v>
      </c>
      <c r="T124">
        <v>1</v>
      </c>
      <c r="U124">
        <v>2</v>
      </c>
      <c r="V124">
        <v>1</v>
      </c>
      <c r="W124">
        <v>0</v>
      </c>
      <c r="X124">
        <v>14</v>
      </c>
      <c r="Y124" t="s">
        <v>235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 t="s">
        <v>234</v>
      </c>
      <c r="AH124" s="1">
        <f t="shared" si="33"/>
        <v>0.5</v>
      </c>
      <c r="AI124" s="1">
        <f t="shared" si="33"/>
        <v>0.5</v>
      </c>
      <c r="AJ124" s="1">
        <f t="shared" si="33"/>
        <v>0.25</v>
      </c>
      <c r="AK124" s="1">
        <f t="shared" si="33"/>
        <v>0.5</v>
      </c>
      <c r="AL124" s="1">
        <f t="shared" si="27"/>
        <v>0.25</v>
      </c>
      <c r="AM124" s="1">
        <f t="shared" si="27"/>
        <v>0</v>
      </c>
      <c r="AN124" s="1">
        <f t="shared" si="34"/>
        <v>3.5</v>
      </c>
      <c r="AO124" s="23" t="str">
        <f t="shared" si="32"/>
        <v>AI-ADJACENT</v>
      </c>
    </row>
    <row r="125" spans="1:41" x14ac:dyDescent="0.3">
      <c r="A125" s="19" t="s">
        <v>98</v>
      </c>
      <c r="B125" s="8">
        <v>0</v>
      </c>
      <c r="C125" s="8">
        <v>0</v>
      </c>
      <c r="D125" s="8">
        <v>0</v>
      </c>
      <c r="E125" s="8">
        <v>0</v>
      </c>
      <c r="F125" s="8">
        <v>1</v>
      </c>
      <c r="G125" s="8">
        <v>1</v>
      </c>
      <c r="H125" s="9">
        <f t="shared" si="41"/>
        <v>3</v>
      </c>
      <c r="I125" s="10" t="str">
        <f t="shared" si="42"/>
        <v>AI-ADJACENT</v>
      </c>
      <c r="J125" s="8">
        <v>1</v>
      </c>
      <c r="K125" s="8">
        <v>1</v>
      </c>
      <c r="L125" s="8">
        <v>0</v>
      </c>
      <c r="M125" s="8">
        <v>0</v>
      </c>
      <c r="N125" s="8">
        <v>1</v>
      </c>
      <c r="O125" s="8">
        <v>1</v>
      </c>
      <c r="P125" s="9">
        <f t="shared" si="43"/>
        <v>7</v>
      </c>
      <c r="Q125" s="10" t="str">
        <f t="shared" si="44"/>
        <v>AI-ENABLED</v>
      </c>
      <c r="R125">
        <v>0</v>
      </c>
      <c r="S125">
        <v>1</v>
      </c>
      <c r="T125">
        <v>1</v>
      </c>
      <c r="U125">
        <v>0</v>
      </c>
      <c r="V125">
        <v>1</v>
      </c>
      <c r="W125">
        <v>1</v>
      </c>
      <c r="X125">
        <v>6</v>
      </c>
      <c r="Y125" t="s">
        <v>233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2</v>
      </c>
      <c r="AF125" s="1">
        <v>4</v>
      </c>
      <c r="AG125" s="1" t="s">
        <v>233</v>
      </c>
      <c r="AH125" s="1">
        <f t="shared" si="33"/>
        <v>0.25</v>
      </c>
      <c r="AI125" s="1">
        <f t="shared" si="33"/>
        <v>0.5</v>
      </c>
      <c r="AJ125" s="1">
        <f t="shared" si="33"/>
        <v>0.25</v>
      </c>
      <c r="AK125" s="1">
        <f t="shared" si="33"/>
        <v>0</v>
      </c>
      <c r="AL125" s="1">
        <f t="shared" si="27"/>
        <v>0.75</v>
      </c>
      <c r="AM125" s="1">
        <f t="shared" si="27"/>
        <v>1.25</v>
      </c>
      <c r="AN125" s="1">
        <f t="shared" si="34"/>
        <v>5</v>
      </c>
      <c r="AO125" s="23" t="str">
        <f t="shared" si="32"/>
        <v>AI-ADJACENT</v>
      </c>
    </row>
    <row r="126" spans="1:41" x14ac:dyDescent="0.3">
      <c r="A126" s="20" t="s">
        <v>198</v>
      </c>
      <c r="B126" s="8">
        <v>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9">
        <f t="shared" si="41"/>
        <v>0</v>
      </c>
      <c r="I126" s="10" t="str">
        <f t="shared" si="42"/>
        <v>DETERMINIST</v>
      </c>
      <c r="J126" s="8">
        <v>1</v>
      </c>
      <c r="K126" s="8">
        <v>1</v>
      </c>
      <c r="L126" s="8">
        <v>1</v>
      </c>
      <c r="M126" s="8">
        <v>0</v>
      </c>
      <c r="N126" s="8">
        <v>0</v>
      </c>
      <c r="O126" s="8">
        <v>0</v>
      </c>
      <c r="P126" s="9">
        <f t="shared" si="43"/>
        <v>5</v>
      </c>
      <c r="Q126" s="10" t="str">
        <f t="shared" si="44"/>
        <v>AI-ADJACENT</v>
      </c>
      <c r="R126">
        <v>2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9</v>
      </c>
      <c r="Y126" t="s">
        <v>232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 t="s">
        <v>234</v>
      </c>
      <c r="AH126" s="1">
        <f t="shared" si="33"/>
        <v>0.75</v>
      </c>
      <c r="AI126" s="1">
        <f t="shared" si="33"/>
        <v>0.5</v>
      </c>
      <c r="AJ126" s="1">
        <f t="shared" si="33"/>
        <v>0.5</v>
      </c>
      <c r="AK126" s="1">
        <f t="shared" si="33"/>
        <v>0.25</v>
      </c>
      <c r="AL126" s="1">
        <f t="shared" ref="AL126:AM189" si="53">AVERAGE(F126,N126,V126,AD126)</f>
        <v>0</v>
      </c>
      <c r="AM126" s="1">
        <f t="shared" si="53"/>
        <v>0</v>
      </c>
      <c r="AN126" s="1">
        <f t="shared" si="34"/>
        <v>3.5</v>
      </c>
      <c r="AO126" s="23" t="str">
        <f t="shared" si="32"/>
        <v>AI-ADJACENT</v>
      </c>
    </row>
    <row r="127" spans="1:41" x14ac:dyDescent="0.3">
      <c r="A127" s="16" t="s">
        <v>78</v>
      </c>
      <c r="B127" s="8">
        <v>1</v>
      </c>
      <c r="C127" s="8">
        <v>1</v>
      </c>
      <c r="D127" s="8">
        <v>0</v>
      </c>
      <c r="E127" s="8">
        <v>0</v>
      </c>
      <c r="F127" s="8">
        <v>0</v>
      </c>
      <c r="G127" s="8">
        <v>0</v>
      </c>
      <c r="H127" s="9">
        <f t="shared" si="41"/>
        <v>4</v>
      </c>
      <c r="I127" s="10" t="str">
        <f t="shared" si="42"/>
        <v>AI-ADJACENT</v>
      </c>
      <c r="J127" s="8">
        <v>1</v>
      </c>
      <c r="K127" s="8">
        <v>1</v>
      </c>
      <c r="L127" s="8">
        <v>0</v>
      </c>
      <c r="M127" s="8">
        <v>0</v>
      </c>
      <c r="N127" s="8">
        <v>1</v>
      </c>
      <c r="O127" s="8">
        <v>1</v>
      </c>
      <c r="P127" s="9">
        <f t="shared" si="43"/>
        <v>7</v>
      </c>
      <c r="Q127" s="10" t="str">
        <f t="shared" si="44"/>
        <v>AI-ENABLED</v>
      </c>
      <c r="R127">
        <v>2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6</v>
      </c>
      <c r="Y127" t="s">
        <v>233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 t="s">
        <v>234</v>
      </c>
      <c r="AH127" s="1">
        <f t="shared" si="33"/>
        <v>1</v>
      </c>
      <c r="AI127" s="1">
        <f t="shared" si="33"/>
        <v>0.75</v>
      </c>
      <c r="AJ127" s="1">
        <f t="shared" si="33"/>
        <v>0</v>
      </c>
      <c r="AK127" s="1">
        <f t="shared" si="33"/>
        <v>0</v>
      </c>
      <c r="AL127" s="1">
        <f t="shared" si="53"/>
        <v>0.25</v>
      </c>
      <c r="AM127" s="1">
        <f t="shared" si="53"/>
        <v>0.25</v>
      </c>
      <c r="AN127" s="1">
        <f t="shared" si="34"/>
        <v>4.25</v>
      </c>
      <c r="AO127" s="23" t="str">
        <f t="shared" si="32"/>
        <v>AI-ADJACENT</v>
      </c>
    </row>
    <row r="128" spans="1:41" x14ac:dyDescent="0.3">
      <c r="A128" s="7" t="s">
        <v>17</v>
      </c>
      <c r="B128" s="8">
        <v>0</v>
      </c>
      <c r="C128" s="8">
        <v>0</v>
      </c>
      <c r="D128" s="8">
        <v>0</v>
      </c>
      <c r="E128" s="8">
        <v>0</v>
      </c>
      <c r="F128" s="8">
        <v>2</v>
      </c>
      <c r="G128" s="8">
        <v>0</v>
      </c>
      <c r="H128" s="9">
        <f t="shared" si="41"/>
        <v>2</v>
      </c>
      <c r="I128" s="10" t="str">
        <f t="shared" si="42"/>
        <v>DETERMINIST</v>
      </c>
      <c r="J128" s="8">
        <v>0</v>
      </c>
      <c r="K128" s="8">
        <v>1</v>
      </c>
      <c r="L128" s="8">
        <v>0</v>
      </c>
      <c r="M128" s="8">
        <v>1</v>
      </c>
      <c r="N128" s="8">
        <v>2</v>
      </c>
      <c r="O128" s="8">
        <v>2</v>
      </c>
      <c r="P128" s="9">
        <f t="shared" si="43"/>
        <v>10</v>
      </c>
      <c r="Q128" s="10" t="str">
        <f t="shared" si="44"/>
        <v>AI-ENABLED</v>
      </c>
      <c r="R128">
        <v>2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8</v>
      </c>
      <c r="Y128" t="s">
        <v>232</v>
      </c>
      <c r="Z128" s="1">
        <v>2</v>
      </c>
      <c r="AA128" s="1">
        <v>2</v>
      </c>
      <c r="AB128" s="1">
        <v>0</v>
      </c>
      <c r="AC128" s="1">
        <v>2</v>
      </c>
      <c r="AD128" s="1">
        <v>2</v>
      </c>
      <c r="AE128" s="1">
        <v>2</v>
      </c>
      <c r="AF128" s="1">
        <v>18</v>
      </c>
      <c r="AG128" s="1" t="s">
        <v>236</v>
      </c>
      <c r="AH128" s="1">
        <f t="shared" si="33"/>
        <v>1</v>
      </c>
      <c r="AI128" s="1">
        <f t="shared" si="33"/>
        <v>1.25</v>
      </c>
      <c r="AJ128" s="1">
        <f t="shared" si="33"/>
        <v>0</v>
      </c>
      <c r="AK128" s="1">
        <f t="shared" si="33"/>
        <v>0.75</v>
      </c>
      <c r="AL128" s="1">
        <f t="shared" si="53"/>
        <v>1.5</v>
      </c>
      <c r="AM128" s="1">
        <f t="shared" si="53"/>
        <v>1</v>
      </c>
      <c r="AN128" s="1">
        <f t="shared" si="34"/>
        <v>9.5</v>
      </c>
      <c r="AO128" s="23" t="str">
        <f t="shared" si="32"/>
        <v>AI-ENABLED</v>
      </c>
    </row>
    <row r="129" spans="1:41" x14ac:dyDescent="0.3">
      <c r="A129" s="7" t="s">
        <v>18</v>
      </c>
      <c r="B129" s="8">
        <v>0</v>
      </c>
      <c r="C129" s="8">
        <v>1</v>
      </c>
      <c r="D129" s="8">
        <v>0</v>
      </c>
      <c r="E129" s="8">
        <v>0</v>
      </c>
      <c r="F129" s="8">
        <v>2</v>
      </c>
      <c r="G129" s="8">
        <v>1</v>
      </c>
      <c r="H129" s="9">
        <f t="shared" si="41"/>
        <v>6</v>
      </c>
      <c r="I129" s="10" t="str">
        <f t="shared" si="42"/>
        <v>AI-ADJACENT</v>
      </c>
      <c r="J129" s="8">
        <v>0</v>
      </c>
      <c r="K129" s="8">
        <v>1</v>
      </c>
      <c r="L129" s="8">
        <v>0</v>
      </c>
      <c r="M129" s="8">
        <v>0</v>
      </c>
      <c r="N129" s="8">
        <v>1</v>
      </c>
      <c r="O129" s="8">
        <v>1</v>
      </c>
      <c r="P129" s="9">
        <f t="shared" si="43"/>
        <v>5</v>
      </c>
      <c r="Q129" s="10" t="str">
        <f t="shared" si="44"/>
        <v>AI-ADJACENT</v>
      </c>
      <c r="R129">
        <v>0</v>
      </c>
      <c r="S129">
        <v>2</v>
      </c>
      <c r="T129">
        <v>1</v>
      </c>
      <c r="U129">
        <v>0</v>
      </c>
      <c r="V129">
        <v>1</v>
      </c>
      <c r="W129">
        <v>0</v>
      </c>
      <c r="X129">
        <v>6</v>
      </c>
      <c r="Y129" t="s">
        <v>233</v>
      </c>
      <c r="Z129" s="1">
        <v>2</v>
      </c>
      <c r="AA129" s="1">
        <v>2</v>
      </c>
      <c r="AB129" s="1">
        <v>0</v>
      </c>
      <c r="AC129" s="1">
        <v>2</v>
      </c>
      <c r="AD129" s="1">
        <v>2</v>
      </c>
      <c r="AE129" s="1">
        <v>2</v>
      </c>
      <c r="AF129" s="1">
        <v>18</v>
      </c>
      <c r="AG129" s="1" t="s">
        <v>236</v>
      </c>
      <c r="AH129" s="1">
        <f t="shared" si="33"/>
        <v>0.5</v>
      </c>
      <c r="AI129" s="1">
        <f t="shared" si="33"/>
        <v>1.5</v>
      </c>
      <c r="AJ129" s="1">
        <f t="shared" si="33"/>
        <v>0.25</v>
      </c>
      <c r="AK129" s="1">
        <f t="shared" si="33"/>
        <v>0.5</v>
      </c>
      <c r="AL129" s="1">
        <f t="shared" si="53"/>
        <v>1.5</v>
      </c>
      <c r="AM129" s="1">
        <f t="shared" si="53"/>
        <v>1</v>
      </c>
      <c r="AN129" s="1">
        <f t="shared" si="34"/>
        <v>8.75</v>
      </c>
      <c r="AO129" s="23" t="str">
        <f t="shared" si="32"/>
        <v>AI-ENABLED</v>
      </c>
    </row>
    <row r="130" spans="1:41" x14ac:dyDescent="0.3">
      <c r="A130" s="16" t="s">
        <v>166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9">
        <f t="shared" ref="H130:H161" si="54">B130*2+C130*2+D130+E130*2+F130+G130*2</f>
        <v>0</v>
      </c>
      <c r="I130" s="10" t="str">
        <f t="shared" ref="I130:I161" si="55">IF(H130="","",IF(H130&lt;=2,"DETERMINIST",IF(H130&lt;=6,"AI-ADJACENT",IF(H130&lt;=11,"AI-ENABLED",IF(H130&lt;=17,"AI-CORE","AI-NATIVE")))))</f>
        <v>DETERMINIST</v>
      </c>
      <c r="J130" s="8">
        <v>1</v>
      </c>
      <c r="K130" s="8">
        <v>1</v>
      </c>
      <c r="L130" s="8">
        <v>0</v>
      </c>
      <c r="M130" s="8">
        <v>1</v>
      </c>
      <c r="N130" s="8">
        <v>0</v>
      </c>
      <c r="O130" s="8">
        <v>0</v>
      </c>
      <c r="P130" s="9">
        <f t="shared" ref="P130:P161" si="56">J130*2+K130*2+L130+M130*2+N130+O130*2</f>
        <v>6</v>
      </c>
      <c r="Q130" s="10" t="str">
        <f t="shared" ref="Q130:Q161" si="57">IF(P130="","",IF(P130&lt;=2,"DETERMINIST",IF(P130&lt;=6,"AI-ADJACENT",IF(P130&lt;=11,"AI-ENABLED",IF(P130&lt;=17,"AI-CORE","AI-NATIVE")))))</f>
        <v>AI-ADJACENT</v>
      </c>
      <c r="R130">
        <v>2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6</v>
      </c>
      <c r="Y130" t="s">
        <v>233</v>
      </c>
      <c r="Z130" s="1">
        <v>0</v>
      </c>
      <c r="AA130" s="1">
        <v>0</v>
      </c>
      <c r="AB130" s="1">
        <v>0</v>
      </c>
      <c r="AC130" s="1">
        <v>2</v>
      </c>
      <c r="AD130" s="1">
        <v>0</v>
      </c>
      <c r="AE130" s="1">
        <v>0</v>
      </c>
      <c r="AF130" s="1">
        <v>4</v>
      </c>
      <c r="AG130" s="1" t="s">
        <v>233</v>
      </c>
      <c r="AH130" s="1">
        <f t="shared" si="33"/>
        <v>0.75</v>
      </c>
      <c r="AI130" s="1">
        <f t="shared" si="33"/>
        <v>0.5</v>
      </c>
      <c r="AJ130" s="1">
        <f t="shared" si="33"/>
        <v>0</v>
      </c>
      <c r="AK130" s="1">
        <f t="shared" ref="AK130:AM193" si="58">AVERAGE(E130,M130,U130,AC130)</f>
        <v>0.75</v>
      </c>
      <c r="AL130" s="1">
        <f t="shared" si="53"/>
        <v>0</v>
      </c>
      <c r="AM130" s="1">
        <f t="shared" si="53"/>
        <v>0</v>
      </c>
      <c r="AN130" s="1">
        <f t="shared" si="34"/>
        <v>4</v>
      </c>
      <c r="AO130" s="23" t="str">
        <f t="shared" ref="AO130:AO193" si="59">IF(AN130="","",IF(AN130&lt;=2,"DETERMINIST",IF(AN130&lt;=6,"AI-ADJACENT",IF(AN130&lt;=11,"AI-ENABLED",IF(AN130&lt;=17,"AI-CORE","AI-NATIVE")))))</f>
        <v>AI-ADJACENT</v>
      </c>
    </row>
    <row r="131" spans="1:41" ht="27.6" x14ac:dyDescent="0.3">
      <c r="A131" s="15" t="s">
        <v>228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9">
        <f t="shared" si="54"/>
        <v>0</v>
      </c>
      <c r="I131" s="10" t="str">
        <f t="shared" si="55"/>
        <v>DETERMINIST</v>
      </c>
      <c r="J131" s="8">
        <v>1</v>
      </c>
      <c r="K131" s="8">
        <v>1</v>
      </c>
      <c r="L131" s="8">
        <v>0</v>
      </c>
      <c r="M131" s="8">
        <v>1</v>
      </c>
      <c r="N131" s="8">
        <v>0</v>
      </c>
      <c r="O131" s="8">
        <v>0</v>
      </c>
      <c r="P131" s="9">
        <f t="shared" si="56"/>
        <v>6</v>
      </c>
      <c r="Q131" s="10" t="str">
        <f t="shared" si="57"/>
        <v>AI-ADJACENT</v>
      </c>
      <c r="R131">
        <v>2</v>
      </c>
      <c r="S131">
        <v>2</v>
      </c>
      <c r="T131">
        <v>0</v>
      </c>
      <c r="U131">
        <v>2</v>
      </c>
      <c r="V131">
        <v>1</v>
      </c>
      <c r="W131">
        <v>0</v>
      </c>
      <c r="X131">
        <v>13</v>
      </c>
      <c r="Y131" t="s">
        <v>235</v>
      </c>
      <c r="Z131" s="1">
        <v>0</v>
      </c>
      <c r="AA131" s="1">
        <v>0</v>
      </c>
      <c r="AB131" s="1">
        <v>0</v>
      </c>
      <c r="AC131" s="1">
        <v>2</v>
      </c>
      <c r="AD131" s="1">
        <v>0</v>
      </c>
      <c r="AE131" s="1">
        <v>0</v>
      </c>
      <c r="AF131" s="1">
        <v>4</v>
      </c>
      <c r="AG131" s="1" t="s">
        <v>233</v>
      </c>
      <c r="AH131" s="1">
        <f t="shared" ref="AH131:AM194" si="60">AVERAGE(B131,J131,R131,Z131)</f>
        <v>0.75</v>
      </c>
      <c r="AI131" s="1">
        <f t="shared" si="60"/>
        <v>0.75</v>
      </c>
      <c r="AJ131" s="1">
        <f t="shared" si="60"/>
        <v>0</v>
      </c>
      <c r="AK131" s="1">
        <f t="shared" si="58"/>
        <v>1.25</v>
      </c>
      <c r="AL131" s="1">
        <f t="shared" si="53"/>
        <v>0.25</v>
      </c>
      <c r="AM131" s="1">
        <f t="shared" si="53"/>
        <v>0</v>
      </c>
      <c r="AN131" s="1">
        <f t="shared" ref="AN131:AN194" si="61">AH131*2+AI131*2+AJ131+AK131*2+AL131+AM131*2</f>
        <v>5.75</v>
      </c>
      <c r="AO131" s="23" t="str">
        <f t="shared" si="59"/>
        <v>AI-ADJACENT</v>
      </c>
    </row>
    <row r="132" spans="1:41" x14ac:dyDescent="0.3">
      <c r="A132" s="21" t="s">
        <v>204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9">
        <f t="shared" si="54"/>
        <v>0</v>
      </c>
      <c r="I132" s="10" t="str">
        <f t="shared" si="55"/>
        <v>DETERMINIST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9">
        <f t="shared" si="56"/>
        <v>0</v>
      </c>
      <c r="Q132" s="10" t="str">
        <f t="shared" si="57"/>
        <v>DETERMINIST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234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 t="s">
        <v>234</v>
      </c>
      <c r="AH132" s="1">
        <f t="shared" si="60"/>
        <v>0</v>
      </c>
      <c r="AI132" s="1">
        <f t="shared" si="60"/>
        <v>0</v>
      </c>
      <c r="AJ132" s="1">
        <f t="shared" si="60"/>
        <v>0</v>
      </c>
      <c r="AK132" s="1">
        <f t="shared" si="58"/>
        <v>0</v>
      </c>
      <c r="AL132" s="1">
        <f t="shared" si="53"/>
        <v>0</v>
      </c>
      <c r="AM132" s="1">
        <f t="shared" si="53"/>
        <v>0</v>
      </c>
      <c r="AN132" s="1">
        <f t="shared" si="61"/>
        <v>0</v>
      </c>
      <c r="AO132" s="23" t="str">
        <f t="shared" si="59"/>
        <v>DETERMINIST</v>
      </c>
    </row>
    <row r="133" spans="1:41" x14ac:dyDescent="0.3">
      <c r="A133" s="13" t="s">
        <v>229</v>
      </c>
      <c r="B133" s="8">
        <v>0</v>
      </c>
      <c r="C133" s="8">
        <v>2</v>
      </c>
      <c r="D133" s="8">
        <v>0</v>
      </c>
      <c r="E133" s="8">
        <v>2</v>
      </c>
      <c r="F133" s="8">
        <v>2</v>
      </c>
      <c r="G133" s="8">
        <v>2</v>
      </c>
      <c r="H133" s="9">
        <f t="shared" si="54"/>
        <v>14</v>
      </c>
      <c r="I133" s="10" t="str">
        <f t="shared" si="55"/>
        <v>AI-CORE</v>
      </c>
      <c r="J133" s="8">
        <v>2</v>
      </c>
      <c r="K133" s="8">
        <v>2</v>
      </c>
      <c r="L133" s="8">
        <v>0</v>
      </c>
      <c r="M133" s="8">
        <v>2</v>
      </c>
      <c r="N133" s="8">
        <v>2</v>
      </c>
      <c r="O133" s="8">
        <v>2</v>
      </c>
      <c r="P133" s="9">
        <f t="shared" si="56"/>
        <v>18</v>
      </c>
      <c r="Q133" s="10" t="str">
        <f t="shared" si="57"/>
        <v>AI-NATIVE</v>
      </c>
      <c r="R133">
        <v>0</v>
      </c>
      <c r="S133">
        <v>2</v>
      </c>
      <c r="T133">
        <v>1</v>
      </c>
      <c r="U133">
        <v>0</v>
      </c>
      <c r="V133">
        <v>1</v>
      </c>
      <c r="W133">
        <v>2</v>
      </c>
      <c r="X133">
        <v>10</v>
      </c>
      <c r="Y133" t="s">
        <v>232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2</v>
      </c>
      <c r="AF133" s="1">
        <v>4</v>
      </c>
      <c r="AG133" s="1" t="s">
        <v>233</v>
      </c>
      <c r="AH133" s="1">
        <f t="shared" si="60"/>
        <v>0.5</v>
      </c>
      <c r="AI133" s="1">
        <f t="shared" si="60"/>
        <v>1.5</v>
      </c>
      <c r="AJ133" s="1">
        <f t="shared" si="60"/>
        <v>0.25</v>
      </c>
      <c r="AK133" s="1">
        <f t="shared" si="58"/>
        <v>1</v>
      </c>
      <c r="AL133" s="1">
        <f t="shared" si="53"/>
        <v>1.25</v>
      </c>
      <c r="AM133" s="1">
        <f t="shared" si="53"/>
        <v>2</v>
      </c>
      <c r="AN133" s="1">
        <f t="shared" si="61"/>
        <v>11.5</v>
      </c>
      <c r="AO133" s="23" t="str">
        <f t="shared" si="59"/>
        <v>AI-CORE</v>
      </c>
    </row>
    <row r="134" spans="1:41" x14ac:dyDescent="0.3">
      <c r="A134" s="15" t="s">
        <v>156</v>
      </c>
      <c r="B134" s="8">
        <v>1</v>
      </c>
      <c r="C134" s="8">
        <v>1</v>
      </c>
      <c r="D134" s="8">
        <v>0</v>
      </c>
      <c r="E134" s="8">
        <v>0</v>
      </c>
      <c r="F134" s="8">
        <v>0</v>
      </c>
      <c r="G134" s="8">
        <v>0</v>
      </c>
      <c r="H134" s="9">
        <f t="shared" si="54"/>
        <v>4</v>
      </c>
      <c r="I134" s="10" t="str">
        <f t="shared" si="55"/>
        <v>AI-ADJACENT</v>
      </c>
      <c r="J134" s="8">
        <v>2</v>
      </c>
      <c r="K134" s="8">
        <v>2</v>
      </c>
      <c r="L134" s="8">
        <v>0</v>
      </c>
      <c r="M134" s="8">
        <v>1</v>
      </c>
      <c r="N134" s="8">
        <v>0</v>
      </c>
      <c r="O134" s="8">
        <v>1</v>
      </c>
      <c r="P134" s="9">
        <f t="shared" si="56"/>
        <v>12</v>
      </c>
      <c r="Q134" s="10" t="str">
        <f t="shared" si="57"/>
        <v>AI-CORE</v>
      </c>
      <c r="R134">
        <v>2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8</v>
      </c>
      <c r="Y134" t="s">
        <v>232</v>
      </c>
      <c r="Z134" s="1">
        <v>1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2</v>
      </c>
      <c r="AG134" s="1" t="s">
        <v>234</v>
      </c>
      <c r="AH134" s="1">
        <f t="shared" si="60"/>
        <v>1.5</v>
      </c>
      <c r="AI134" s="1">
        <f t="shared" si="60"/>
        <v>1.25</v>
      </c>
      <c r="AJ134" s="1">
        <f t="shared" si="60"/>
        <v>0</v>
      </c>
      <c r="AK134" s="1">
        <f t="shared" si="58"/>
        <v>0.25</v>
      </c>
      <c r="AL134" s="1">
        <f t="shared" si="53"/>
        <v>0</v>
      </c>
      <c r="AM134" s="1">
        <f t="shared" si="53"/>
        <v>0.25</v>
      </c>
      <c r="AN134" s="1">
        <f t="shared" si="61"/>
        <v>6.5</v>
      </c>
      <c r="AO134" s="23" t="str">
        <f t="shared" si="59"/>
        <v>AI-ENABLED</v>
      </c>
    </row>
    <row r="135" spans="1:41" x14ac:dyDescent="0.3">
      <c r="A135" s="17" t="s">
        <v>177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9">
        <f t="shared" si="54"/>
        <v>0</v>
      </c>
      <c r="I135" s="10" t="str">
        <f t="shared" si="55"/>
        <v>DETERMINIST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9">
        <f t="shared" si="56"/>
        <v>0</v>
      </c>
      <c r="Q135" s="10" t="str">
        <f t="shared" si="57"/>
        <v>DETERMINIST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234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 t="s">
        <v>234</v>
      </c>
      <c r="AH135" s="1">
        <f t="shared" si="60"/>
        <v>0</v>
      </c>
      <c r="AI135" s="1">
        <f t="shared" si="60"/>
        <v>0</v>
      </c>
      <c r="AJ135" s="1">
        <f t="shared" si="60"/>
        <v>0</v>
      </c>
      <c r="AK135" s="1">
        <f t="shared" si="58"/>
        <v>0</v>
      </c>
      <c r="AL135" s="1">
        <f t="shared" si="53"/>
        <v>0</v>
      </c>
      <c r="AM135" s="1">
        <f t="shared" si="53"/>
        <v>0</v>
      </c>
      <c r="AN135" s="1">
        <f t="shared" si="61"/>
        <v>0</v>
      </c>
      <c r="AO135" s="23" t="str">
        <f t="shared" si="59"/>
        <v>DETERMINIST</v>
      </c>
    </row>
    <row r="136" spans="1:41" x14ac:dyDescent="0.3">
      <c r="A136" s="21" t="s">
        <v>207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9">
        <f t="shared" si="54"/>
        <v>0</v>
      </c>
      <c r="I136" s="10" t="str">
        <f t="shared" si="55"/>
        <v>DETERMINIST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9">
        <f t="shared" si="56"/>
        <v>0</v>
      </c>
      <c r="Q136" s="10" t="str">
        <f t="shared" si="57"/>
        <v>DETERMINIST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234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 t="s">
        <v>234</v>
      </c>
      <c r="AH136" s="1">
        <f t="shared" si="60"/>
        <v>0</v>
      </c>
      <c r="AI136" s="1">
        <f t="shared" si="60"/>
        <v>0</v>
      </c>
      <c r="AJ136" s="1">
        <f t="shared" si="60"/>
        <v>0</v>
      </c>
      <c r="AK136" s="1">
        <f t="shared" si="58"/>
        <v>0</v>
      </c>
      <c r="AL136" s="1">
        <f t="shared" si="53"/>
        <v>0</v>
      </c>
      <c r="AM136" s="1">
        <f t="shared" si="53"/>
        <v>0</v>
      </c>
      <c r="AN136" s="1">
        <f t="shared" si="61"/>
        <v>0</v>
      </c>
      <c r="AO136" s="23" t="str">
        <f t="shared" si="59"/>
        <v>DETERMINIST</v>
      </c>
    </row>
    <row r="137" spans="1:41" x14ac:dyDescent="0.3">
      <c r="A137" s="20" t="s">
        <v>202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9">
        <f t="shared" si="54"/>
        <v>0</v>
      </c>
      <c r="I137" s="10" t="str">
        <f t="shared" si="55"/>
        <v>DETERMINIST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9">
        <f t="shared" si="56"/>
        <v>0</v>
      </c>
      <c r="Q137" s="10" t="str">
        <f t="shared" si="57"/>
        <v>DETERMINIST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234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 t="s">
        <v>234</v>
      </c>
      <c r="AH137" s="1">
        <f t="shared" si="60"/>
        <v>0</v>
      </c>
      <c r="AI137" s="1">
        <f t="shared" si="60"/>
        <v>0</v>
      </c>
      <c r="AJ137" s="1">
        <f t="shared" si="60"/>
        <v>0</v>
      </c>
      <c r="AK137" s="1">
        <f t="shared" si="58"/>
        <v>0</v>
      </c>
      <c r="AL137" s="1">
        <f t="shared" si="53"/>
        <v>0</v>
      </c>
      <c r="AM137" s="1">
        <f t="shared" si="53"/>
        <v>0</v>
      </c>
      <c r="AN137" s="1">
        <f t="shared" si="61"/>
        <v>0</v>
      </c>
      <c r="AO137" s="23" t="str">
        <f t="shared" si="59"/>
        <v>DETERMINIST</v>
      </c>
    </row>
    <row r="138" spans="1:41" x14ac:dyDescent="0.3">
      <c r="A138" s="14" t="s">
        <v>150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9">
        <f t="shared" si="54"/>
        <v>0</v>
      </c>
      <c r="I138" s="10" t="str">
        <f t="shared" si="55"/>
        <v>DETERMINIST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9">
        <f t="shared" si="56"/>
        <v>0</v>
      </c>
      <c r="Q138" s="10" t="str">
        <f t="shared" si="57"/>
        <v>DETERMINIST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234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 t="s">
        <v>234</v>
      </c>
      <c r="AH138" s="1">
        <f t="shared" si="60"/>
        <v>0</v>
      </c>
      <c r="AI138" s="1">
        <f t="shared" si="60"/>
        <v>0</v>
      </c>
      <c r="AJ138" s="1">
        <f t="shared" si="60"/>
        <v>0</v>
      </c>
      <c r="AK138" s="1">
        <f t="shared" si="58"/>
        <v>0</v>
      </c>
      <c r="AL138" s="1">
        <f t="shared" si="53"/>
        <v>0</v>
      </c>
      <c r="AM138" s="1">
        <f t="shared" si="53"/>
        <v>0</v>
      </c>
      <c r="AN138" s="1">
        <f t="shared" si="61"/>
        <v>0</v>
      </c>
      <c r="AO138" s="23" t="str">
        <f t="shared" si="59"/>
        <v>DETERMINIST</v>
      </c>
    </row>
    <row r="139" spans="1:41" x14ac:dyDescent="0.3">
      <c r="A139" s="19" t="s">
        <v>102</v>
      </c>
      <c r="B139" s="8">
        <v>2</v>
      </c>
      <c r="C139" s="8">
        <v>2</v>
      </c>
      <c r="D139" s="8">
        <v>1</v>
      </c>
      <c r="E139" s="8">
        <v>2</v>
      </c>
      <c r="F139" s="8">
        <v>2</v>
      </c>
      <c r="G139" s="8">
        <v>1</v>
      </c>
      <c r="H139" s="9">
        <f t="shared" si="54"/>
        <v>17</v>
      </c>
      <c r="I139" s="10" t="str">
        <f t="shared" si="55"/>
        <v>AI-CORE</v>
      </c>
      <c r="J139" s="8">
        <v>2</v>
      </c>
      <c r="K139" s="8">
        <v>2</v>
      </c>
      <c r="L139" s="8">
        <v>0</v>
      </c>
      <c r="M139" s="8">
        <v>2</v>
      </c>
      <c r="N139" s="8">
        <v>0</v>
      </c>
      <c r="O139" s="8">
        <v>0</v>
      </c>
      <c r="P139" s="9">
        <f t="shared" si="56"/>
        <v>12</v>
      </c>
      <c r="Q139" s="10" t="str">
        <f t="shared" si="57"/>
        <v>AI-CORE</v>
      </c>
      <c r="R139">
        <v>2</v>
      </c>
      <c r="S139">
        <v>2</v>
      </c>
      <c r="T139">
        <v>0</v>
      </c>
      <c r="U139">
        <v>2</v>
      </c>
      <c r="V139">
        <v>0</v>
      </c>
      <c r="W139">
        <v>0</v>
      </c>
      <c r="X139">
        <v>12</v>
      </c>
      <c r="Y139" t="s">
        <v>235</v>
      </c>
      <c r="Z139" s="1">
        <v>2</v>
      </c>
      <c r="AA139" s="1">
        <v>2</v>
      </c>
      <c r="AB139" s="1">
        <v>0</v>
      </c>
      <c r="AC139" s="1">
        <v>2</v>
      </c>
      <c r="AD139" s="1">
        <v>0</v>
      </c>
      <c r="AE139" s="1">
        <v>0</v>
      </c>
      <c r="AF139" s="1">
        <v>12</v>
      </c>
      <c r="AG139" s="1" t="s">
        <v>235</v>
      </c>
      <c r="AH139" s="1">
        <f t="shared" si="60"/>
        <v>2</v>
      </c>
      <c r="AI139" s="1">
        <f t="shared" si="60"/>
        <v>2</v>
      </c>
      <c r="AJ139" s="1">
        <f t="shared" si="60"/>
        <v>0.25</v>
      </c>
      <c r="AK139" s="1">
        <f t="shared" si="58"/>
        <v>2</v>
      </c>
      <c r="AL139" s="1">
        <f t="shared" si="53"/>
        <v>0.5</v>
      </c>
      <c r="AM139" s="1">
        <f t="shared" si="53"/>
        <v>0.25</v>
      </c>
      <c r="AN139" s="1">
        <f t="shared" si="61"/>
        <v>13.25</v>
      </c>
      <c r="AO139" s="23" t="str">
        <f t="shared" si="59"/>
        <v>AI-CORE</v>
      </c>
    </row>
    <row r="140" spans="1:41" x14ac:dyDescent="0.3">
      <c r="A140" s="11" t="s">
        <v>230</v>
      </c>
      <c r="B140" s="8">
        <v>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9">
        <f t="shared" si="54"/>
        <v>0</v>
      </c>
      <c r="I140" s="10" t="str">
        <f t="shared" si="55"/>
        <v>DETERMINIST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9">
        <f t="shared" si="56"/>
        <v>0</v>
      </c>
      <c r="Q140" s="10" t="str">
        <f t="shared" si="57"/>
        <v>DETERMINIST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234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 t="s">
        <v>234</v>
      </c>
      <c r="AH140" s="1">
        <f t="shared" si="60"/>
        <v>0</v>
      </c>
      <c r="AI140" s="1">
        <f t="shared" si="60"/>
        <v>0</v>
      </c>
      <c r="AJ140" s="1">
        <f t="shared" si="60"/>
        <v>0</v>
      </c>
      <c r="AK140" s="1">
        <f t="shared" si="58"/>
        <v>0</v>
      </c>
      <c r="AL140" s="1">
        <f t="shared" si="53"/>
        <v>0</v>
      </c>
      <c r="AM140" s="1">
        <f t="shared" si="53"/>
        <v>0</v>
      </c>
      <c r="AN140" s="1">
        <f t="shared" si="61"/>
        <v>0</v>
      </c>
      <c r="AO140" s="23" t="str">
        <f t="shared" si="59"/>
        <v>DETERMINIST</v>
      </c>
    </row>
    <row r="141" spans="1:41" x14ac:dyDescent="0.3">
      <c r="A141" s="18" t="s">
        <v>182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9">
        <f t="shared" si="54"/>
        <v>0</v>
      </c>
      <c r="I141" s="10" t="str">
        <f t="shared" si="55"/>
        <v>DETERMINIST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9">
        <f t="shared" si="56"/>
        <v>0</v>
      </c>
      <c r="Q141" s="10" t="str">
        <f t="shared" si="57"/>
        <v>DETERMINIST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2</v>
      </c>
      <c r="Y141" t="s">
        <v>234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 t="s">
        <v>234</v>
      </c>
      <c r="AH141" s="1">
        <f t="shared" si="60"/>
        <v>0</v>
      </c>
      <c r="AI141" s="1">
        <f t="shared" si="60"/>
        <v>0.25</v>
      </c>
      <c r="AJ141" s="1">
        <f t="shared" si="60"/>
        <v>0</v>
      </c>
      <c r="AK141" s="1">
        <f t="shared" si="58"/>
        <v>0</v>
      </c>
      <c r="AL141" s="1">
        <f t="shared" si="53"/>
        <v>0</v>
      </c>
      <c r="AM141" s="1">
        <f t="shared" si="53"/>
        <v>0</v>
      </c>
      <c r="AN141" s="1">
        <f t="shared" si="61"/>
        <v>0.5</v>
      </c>
      <c r="AO141" s="23" t="str">
        <f t="shared" si="59"/>
        <v>DETERMINIST</v>
      </c>
    </row>
    <row r="142" spans="1:41" x14ac:dyDescent="0.3">
      <c r="A142" s="16" t="s">
        <v>165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9">
        <f t="shared" si="54"/>
        <v>0</v>
      </c>
      <c r="I142" s="10" t="str">
        <f t="shared" si="55"/>
        <v>DETERMINIST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9">
        <f t="shared" si="56"/>
        <v>0</v>
      </c>
      <c r="Q142" s="10" t="str">
        <f t="shared" si="57"/>
        <v>DETERMINIST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234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 t="s">
        <v>234</v>
      </c>
      <c r="AH142" s="1">
        <f t="shared" si="60"/>
        <v>0</v>
      </c>
      <c r="AI142" s="1">
        <f t="shared" si="60"/>
        <v>0</v>
      </c>
      <c r="AJ142" s="1">
        <f t="shared" si="60"/>
        <v>0</v>
      </c>
      <c r="AK142" s="1">
        <f t="shared" si="58"/>
        <v>0</v>
      </c>
      <c r="AL142" s="1">
        <f t="shared" si="53"/>
        <v>0</v>
      </c>
      <c r="AM142" s="1">
        <f t="shared" si="53"/>
        <v>0</v>
      </c>
      <c r="AN142" s="1">
        <f t="shared" si="61"/>
        <v>0</v>
      </c>
      <c r="AO142" s="23" t="str">
        <f t="shared" si="59"/>
        <v>DETERMINIST</v>
      </c>
    </row>
    <row r="143" spans="1:41" x14ac:dyDescent="0.3">
      <c r="A143" s="7" t="s">
        <v>115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9">
        <f t="shared" si="54"/>
        <v>0</v>
      </c>
      <c r="I143" s="10" t="str">
        <f t="shared" si="55"/>
        <v>DETERMINIST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9">
        <f t="shared" si="56"/>
        <v>0</v>
      </c>
      <c r="Q143" s="10" t="str">
        <f t="shared" si="57"/>
        <v>DETERMINIST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234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 t="s">
        <v>234</v>
      </c>
      <c r="AH143" s="1">
        <f t="shared" si="60"/>
        <v>0</v>
      </c>
      <c r="AI143" s="1">
        <f t="shared" si="60"/>
        <v>0</v>
      </c>
      <c r="AJ143" s="1">
        <f t="shared" si="60"/>
        <v>0</v>
      </c>
      <c r="AK143" s="1">
        <f t="shared" si="58"/>
        <v>0</v>
      </c>
      <c r="AL143" s="1">
        <f t="shared" si="53"/>
        <v>0</v>
      </c>
      <c r="AM143" s="1">
        <f t="shared" si="53"/>
        <v>0</v>
      </c>
      <c r="AN143" s="1">
        <f t="shared" si="61"/>
        <v>0</v>
      </c>
      <c r="AO143" s="23" t="str">
        <f t="shared" si="59"/>
        <v>DETERMINIST</v>
      </c>
    </row>
    <row r="144" spans="1:41" x14ac:dyDescent="0.3">
      <c r="A144" s="19" t="s">
        <v>194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9">
        <f t="shared" si="54"/>
        <v>0</v>
      </c>
      <c r="I144" s="10" t="str">
        <f t="shared" si="55"/>
        <v>DETERMINIST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9">
        <f t="shared" si="56"/>
        <v>0</v>
      </c>
      <c r="Q144" s="10" t="str">
        <f t="shared" si="57"/>
        <v>DETERMINIST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234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 t="s">
        <v>234</v>
      </c>
      <c r="AH144" s="1">
        <f t="shared" si="60"/>
        <v>0</v>
      </c>
      <c r="AI144" s="1">
        <f t="shared" si="60"/>
        <v>0</v>
      </c>
      <c r="AJ144" s="1">
        <f t="shared" si="60"/>
        <v>0</v>
      </c>
      <c r="AK144" s="1">
        <f t="shared" si="58"/>
        <v>0</v>
      </c>
      <c r="AL144" s="1">
        <f t="shared" si="53"/>
        <v>0</v>
      </c>
      <c r="AM144" s="1">
        <f t="shared" si="53"/>
        <v>0</v>
      </c>
      <c r="AN144" s="1">
        <f t="shared" si="61"/>
        <v>0</v>
      </c>
      <c r="AO144" s="23" t="str">
        <f t="shared" si="59"/>
        <v>DETERMINIST</v>
      </c>
    </row>
    <row r="145" spans="1:41" x14ac:dyDescent="0.3">
      <c r="A145" s="7" t="s">
        <v>22</v>
      </c>
      <c r="B145" s="8">
        <v>0</v>
      </c>
      <c r="C145" s="8">
        <v>1</v>
      </c>
      <c r="D145" s="8">
        <v>0</v>
      </c>
      <c r="E145" s="8">
        <v>2</v>
      </c>
      <c r="F145" s="8">
        <v>2</v>
      </c>
      <c r="G145" s="8">
        <v>1</v>
      </c>
      <c r="H145" s="9">
        <f t="shared" si="54"/>
        <v>10</v>
      </c>
      <c r="I145" s="10" t="str">
        <f t="shared" si="55"/>
        <v>AI-ENABLED</v>
      </c>
      <c r="J145" s="8">
        <v>0</v>
      </c>
      <c r="K145" s="8">
        <v>1</v>
      </c>
      <c r="L145" s="8">
        <v>0</v>
      </c>
      <c r="M145" s="8">
        <v>1</v>
      </c>
      <c r="N145" s="8">
        <v>2</v>
      </c>
      <c r="O145" s="8">
        <v>2</v>
      </c>
      <c r="P145" s="9">
        <f t="shared" si="56"/>
        <v>10</v>
      </c>
      <c r="Q145" s="10" t="str">
        <f t="shared" si="57"/>
        <v>AI-ENABLED</v>
      </c>
      <c r="R145">
        <v>2</v>
      </c>
      <c r="S145">
        <v>2</v>
      </c>
      <c r="T145">
        <v>0</v>
      </c>
      <c r="U145">
        <v>2</v>
      </c>
      <c r="V145">
        <v>2</v>
      </c>
      <c r="W145">
        <v>0</v>
      </c>
      <c r="X145">
        <v>14</v>
      </c>
      <c r="Y145" t="s">
        <v>235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 t="s">
        <v>234</v>
      </c>
      <c r="AH145" s="1">
        <f t="shared" si="60"/>
        <v>0.5</v>
      </c>
      <c r="AI145" s="1">
        <f t="shared" si="60"/>
        <v>1</v>
      </c>
      <c r="AJ145" s="1">
        <f t="shared" si="60"/>
        <v>0</v>
      </c>
      <c r="AK145" s="1">
        <f t="shared" si="58"/>
        <v>1.25</v>
      </c>
      <c r="AL145" s="1">
        <f t="shared" si="53"/>
        <v>1.5</v>
      </c>
      <c r="AM145" s="1">
        <f t="shared" si="53"/>
        <v>0.75</v>
      </c>
      <c r="AN145" s="1">
        <f t="shared" si="61"/>
        <v>8.5</v>
      </c>
      <c r="AO145" s="23" t="str">
        <f t="shared" si="59"/>
        <v>AI-ENABLED</v>
      </c>
    </row>
    <row r="146" spans="1:41" x14ac:dyDescent="0.3">
      <c r="A146" s="11" t="s">
        <v>127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9">
        <f t="shared" si="54"/>
        <v>0</v>
      </c>
      <c r="I146" s="10" t="str">
        <f t="shared" si="55"/>
        <v>DETERMINIST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9">
        <f t="shared" si="56"/>
        <v>0</v>
      </c>
      <c r="Q146" s="10" t="str">
        <f t="shared" si="57"/>
        <v>DETERMINIST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234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 t="s">
        <v>234</v>
      </c>
      <c r="AH146" s="1">
        <f t="shared" si="60"/>
        <v>0</v>
      </c>
      <c r="AI146" s="1">
        <f t="shared" si="60"/>
        <v>0</v>
      </c>
      <c r="AJ146" s="1">
        <f t="shared" si="60"/>
        <v>0</v>
      </c>
      <c r="AK146" s="1">
        <f t="shared" si="58"/>
        <v>0</v>
      </c>
      <c r="AL146" s="1">
        <f t="shared" si="53"/>
        <v>0</v>
      </c>
      <c r="AM146" s="1">
        <f t="shared" si="53"/>
        <v>0</v>
      </c>
      <c r="AN146" s="1">
        <f t="shared" si="61"/>
        <v>0</v>
      </c>
      <c r="AO146" s="23" t="str">
        <f t="shared" si="59"/>
        <v>DETERMINIST</v>
      </c>
    </row>
    <row r="147" spans="1:41" x14ac:dyDescent="0.3">
      <c r="A147" s="17" t="s">
        <v>175</v>
      </c>
      <c r="B147" s="8">
        <v>0</v>
      </c>
      <c r="C147" s="8">
        <v>0</v>
      </c>
      <c r="D147" s="8">
        <v>1</v>
      </c>
      <c r="E147" s="8">
        <v>0</v>
      </c>
      <c r="F147" s="8">
        <v>1</v>
      </c>
      <c r="G147" s="8">
        <v>1</v>
      </c>
      <c r="H147" s="9">
        <f t="shared" si="54"/>
        <v>4</v>
      </c>
      <c r="I147" s="10" t="str">
        <f t="shared" si="55"/>
        <v>AI-ADJACENT</v>
      </c>
      <c r="J147" s="8">
        <v>0</v>
      </c>
      <c r="K147" s="8">
        <v>0</v>
      </c>
      <c r="L147" s="8">
        <v>1</v>
      </c>
      <c r="M147" s="8">
        <v>0</v>
      </c>
      <c r="N147" s="8">
        <v>1</v>
      </c>
      <c r="O147" s="8">
        <v>1</v>
      </c>
      <c r="P147" s="9">
        <f t="shared" si="56"/>
        <v>4</v>
      </c>
      <c r="Q147" s="10" t="str">
        <f t="shared" si="57"/>
        <v>AI-ADJACENT</v>
      </c>
      <c r="R147">
        <v>2</v>
      </c>
      <c r="S147">
        <v>2</v>
      </c>
      <c r="T147">
        <v>1</v>
      </c>
      <c r="U147">
        <v>2</v>
      </c>
      <c r="V147">
        <v>0</v>
      </c>
      <c r="W147">
        <v>0</v>
      </c>
      <c r="X147">
        <v>13</v>
      </c>
      <c r="Y147" t="s">
        <v>235</v>
      </c>
      <c r="Z147" s="1">
        <v>2</v>
      </c>
      <c r="AA147" s="1">
        <v>2</v>
      </c>
      <c r="AB147" s="1">
        <v>0</v>
      </c>
      <c r="AC147" s="1">
        <v>0</v>
      </c>
      <c r="AD147" s="1">
        <v>0</v>
      </c>
      <c r="AE147" s="1">
        <v>0</v>
      </c>
      <c r="AF147" s="1">
        <v>8</v>
      </c>
      <c r="AG147" s="1" t="s">
        <v>232</v>
      </c>
      <c r="AH147" s="1">
        <f t="shared" si="60"/>
        <v>1</v>
      </c>
      <c r="AI147" s="1">
        <f t="shared" si="60"/>
        <v>1</v>
      </c>
      <c r="AJ147" s="1">
        <f t="shared" si="60"/>
        <v>0.75</v>
      </c>
      <c r="AK147" s="1">
        <f t="shared" si="58"/>
        <v>0.5</v>
      </c>
      <c r="AL147" s="1">
        <f t="shared" si="53"/>
        <v>0.5</v>
      </c>
      <c r="AM147" s="1">
        <f t="shared" si="53"/>
        <v>0.5</v>
      </c>
      <c r="AN147" s="1">
        <f t="shared" si="61"/>
        <v>7.25</v>
      </c>
      <c r="AO147" s="23" t="str">
        <f t="shared" si="59"/>
        <v>AI-ENABLED</v>
      </c>
    </row>
    <row r="148" spans="1:41" x14ac:dyDescent="0.3">
      <c r="A148" s="19" t="s">
        <v>188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9">
        <f t="shared" si="54"/>
        <v>0</v>
      </c>
      <c r="I148" s="10" t="str">
        <f t="shared" si="55"/>
        <v>DETERMINIST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9">
        <f t="shared" si="56"/>
        <v>0</v>
      </c>
      <c r="Q148" s="10" t="str">
        <f t="shared" si="57"/>
        <v>DETERMINIST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234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 t="s">
        <v>234</v>
      </c>
      <c r="AH148" s="1">
        <f t="shared" si="60"/>
        <v>0</v>
      </c>
      <c r="AI148" s="1">
        <f t="shared" si="60"/>
        <v>0</v>
      </c>
      <c r="AJ148" s="1">
        <f t="shared" si="60"/>
        <v>0</v>
      </c>
      <c r="AK148" s="1">
        <f t="shared" si="58"/>
        <v>0</v>
      </c>
      <c r="AL148" s="1">
        <f t="shared" si="53"/>
        <v>0</v>
      </c>
      <c r="AM148" s="1">
        <f t="shared" si="53"/>
        <v>0</v>
      </c>
      <c r="AN148" s="1">
        <f t="shared" si="61"/>
        <v>0</v>
      </c>
      <c r="AO148" s="23" t="str">
        <f t="shared" si="59"/>
        <v>DETERMINIST</v>
      </c>
    </row>
    <row r="149" spans="1:41" x14ac:dyDescent="0.3">
      <c r="A149" s="17" t="s">
        <v>84</v>
      </c>
      <c r="B149" s="8">
        <v>2</v>
      </c>
      <c r="C149" s="8">
        <v>2</v>
      </c>
      <c r="D149" s="8">
        <v>1</v>
      </c>
      <c r="E149" s="8">
        <v>2</v>
      </c>
      <c r="F149" s="8">
        <v>2</v>
      </c>
      <c r="G149" s="8">
        <v>1</v>
      </c>
      <c r="H149" s="9">
        <f t="shared" si="54"/>
        <v>17</v>
      </c>
      <c r="I149" s="10" t="str">
        <f t="shared" si="55"/>
        <v>AI-CORE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9">
        <f t="shared" si="56"/>
        <v>0</v>
      </c>
      <c r="Q149" s="10" t="str">
        <f t="shared" si="57"/>
        <v>DETERMINIST</v>
      </c>
      <c r="R149">
        <v>2</v>
      </c>
      <c r="S149">
        <v>2</v>
      </c>
      <c r="T149">
        <v>1</v>
      </c>
      <c r="U149">
        <v>2</v>
      </c>
      <c r="V149">
        <v>1</v>
      </c>
      <c r="W149">
        <v>1</v>
      </c>
      <c r="X149">
        <v>16</v>
      </c>
      <c r="Y149" t="s">
        <v>235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 t="s">
        <v>234</v>
      </c>
      <c r="AH149" s="1">
        <f t="shared" si="60"/>
        <v>1</v>
      </c>
      <c r="AI149" s="1">
        <f t="shared" si="60"/>
        <v>1</v>
      </c>
      <c r="AJ149" s="1">
        <f t="shared" si="60"/>
        <v>0.5</v>
      </c>
      <c r="AK149" s="1">
        <f t="shared" si="58"/>
        <v>1</v>
      </c>
      <c r="AL149" s="1">
        <f t="shared" si="53"/>
        <v>0.75</v>
      </c>
      <c r="AM149" s="1">
        <f t="shared" si="53"/>
        <v>0.5</v>
      </c>
      <c r="AN149" s="1">
        <f t="shared" si="61"/>
        <v>8.25</v>
      </c>
      <c r="AO149" s="23" t="str">
        <f t="shared" si="59"/>
        <v>AI-ENABLED</v>
      </c>
    </row>
    <row r="150" spans="1:41" x14ac:dyDescent="0.3">
      <c r="A150" s="18" t="s">
        <v>178</v>
      </c>
      <c r="B150" s="8">
        <v>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9">
        <f t="shared" si="54"/>
        <v>0</v>
      </c>
      <c r="I150" s="10" t="str">
        <f t="shared" si="55"/>
        <v>DETERMINIST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9">
        <f t="shared" si="56"/>
        <v>0</v>
      </c>
      <c r="Q150" s="10" t="str">
        <f t="shared" si="57"/>
        <v>DETERMINIST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3</v>
      </c>
      <c r="Y150" t="s">
        <v>233</v>
      </c>
      <c r="Z150" s="1">
        <v>0</v>
      </c>
      <c r="AA150" s="1">
        <v>1</v>
      </c>
      <c r="AB150" s="1">
        <v>0</v>
      </c>
      <c r="AC150" s="1">
        <v>0</v>
      </c>
      <c r="AD150" s="1">
        <v>0</v>
      </c>
      <c r="AE150" s="1">
        <v>0</v>
      </c>
      <c r="AF150" s="1">
        <v>2</v>
      </c>
      <c r="AG150" s="1" t="s">
        <v>234</v>
      </c>
      <c r="AH150" s="1">
        <f t="shared" si="60"/>
        <v>0</v>
      </c>
      <c r="AI150" s="1">
        <f t="shared" si="60"/>
        <v>0.5</v>
      </c>
      <c r="AJ150" s="1">
        <f t="shared" si="60"/>
        <v>0</v>
      </c>
      <c r="AK150" s="1">
        <f t="shared" si="58"/>
        <v>0</v>
      </c>
      <c r="AL150" s="1">
        <f t="shared" si="53"/>
        <v>0.25</v>
      </c>
      <c r="AM150" s="1">
        <f t="shared" si="53"/>
        <v>0</v>
      </c>
      <c r="AN150" s="1">
        <f t="shared" si="61"/>
        <v>1.25</v>
      </c>
      <c r="AO150" s="23" t="str">
        <f t="shared" si="59"/>
        <v>DETERMINIST</v>
      </c>
    </row>
    <row r="151" spans="1:41" x14ac:dyDescent="0.3">
      <c r="A151" s="12" t="s">
        <v>47</v>
      </c>
      <c r="B151" s="8">
        <v>2</v>
      </c>
      <c r="C151" s="8">
        <v>2</v>
      </c>
      <c r="D151" s="8">
        <v>0</v>
      </c>
      <c r="E151" s="8">
        <v>2</v>
      </c>
      <c r="F151" s="8">
        <v>2</v>
      </c>
      <c r="G151" s="8">
        <v>1</v>
      </c>
      <c r="H151" s="9">
        <f t="shared" si="54"/>
        <v>16</v>
      </c>
      <c r="I151" s="10" t="str">
        <f t="shared" si="55"/>
        <v>AI-CORE</v>
      </c>
      <c r="J151" s="8">
        <v>2</v>
      </c>
      <c r="K151" s="8">
        <v>2</v>
      </c>
      <c r="L151" s="8">
        <v>0</v>
      </c>
      <c r="M151" s="8">
        <v>2</v>
      </c>
      <c r="N151" s="8">
        <v>2</v>
      </c>
      <c r="O151" s="8">
        <v>1</v>
      </c>
      <c r="P151" s="9">
        <f t="shared" si="56"/>
        <v>16</v>
      </c>
      <c r="Q151" s="10" t="str">
        <f t="shared" si="57"/>
        <v>AI-CORE</v>
      </c>
      <c r="R151">
        <v>0</v>
      </c>
      <c r="S151">
        <v>2</v>
      </c>
      <c r="T151">
        <v>1</v>
      </c>
      <c r="U151">
        <v>2</v>
      </c>
      <c r="V151">
        <v>2</v>
      </c>
      <c r="W151">
        <v>2</v>
      </c>
      <c r="X151">
        <v>15</v>
      </c>
      <c r="Y151" t="s">
        <v>235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 t="s">
        <v>234</v>
      </c>
      <c r="AH151" s="1">
        <f t="shared" si="60"/>
        <v>1</v>
      </c>
      <c r="AI151" s="1">
        <f t="shared" si="60"/>
        <v>1.5</v>
      </c>
      <c r="AJ151" s="1">
        <f t="shared" si="60"/>
        <v>0.25</v>
      </c>
      <c r="AK151" s="1">
        <f t="shared" si="58"/>
        <v>1.5</v>
      </c>
      <c r="AL151" s="1">
        <f t="shared" si="53"/>
        <v>1.5</v>
      </c>
      <c r="AM151" s="1">
        <f t="shared" si="53"/>
        <v>1</v>
      </c>
      <c r="AN151" s="1">
        <f t="shared" si="61"/>
        <v>11.75</v>
      </c>
      <c r="AO151" s="23" t="str">
        <f t="shared" si="59"/>
        <v>AI-CORE</v>
      </c>
    </row>
    <row r="152" spans="1:41" x14ac:dyDescent="0.3">
      <c r="A152" s="12" t="s">
        <v>45</v>
      </c>
      <c r="B152" s="8">
        <v>2</v>
      </c>
      <c r="C152" s="8">
        <v>2</v>
      </c>
      <c r="D152" s="8">
        <v>0</v>
      </c>
      <c r="E152" s="8">
        <v>2</v>
      </c>
      <c r="F152" s="8">
        <v>2</v>
      </c>
      <c r="G152" s="8">
        <v>1</v>
      </c>
      <c r="H152" s="9">
        <f t="shared" si="54"/>
        <v>16</v>
      </c>
      <c r="I152" s="10" t="str">
        <f t="shared" si="55"/>
        <v>AI-CORE</v>
      </c>
      <c r="J152" s="8">
        <v>2</v>
      </c>
      <c r="K152" s="8">
        <v>2</v>
      </c>
      <c r="L152" s="8">
        <v>0</v>
      </c>
      <c r="M152" s="8">
        <v>2</v>
      </c>
      <c r="N152" s="8">
        <v>2</v>
      </c>
      <c r="O152" s="8">
        <v>2</v>
      </c>
      <c r="P152" s="9">
        <f t="shared" si="56"/>
        <v>18</v>
      </c>
      <c r="Q152" s="10" t="str">
        <f t="shared" si="57"/>
        <v>AI-NATIVE</v>
      </c>
      <c r="R152">
        <v>2</v>
      </c>
      <c r="S152">
        <v>2</v>
      </c>
      <c r="T152">
        <v>0</v>
      </c>
      <c r="U152">
        <v>2</v>
      </c>
      <c r="V152">
        <v>1</v>
      </c>
      <c r="W152">
        <v>2</v>
      </c>
      <c r="X152">
        <v>17</v>
      </c>
      <c r="Y152" t="s">
        <v>235</v>
      </c>
      <c r="Z152" s="1">
        <v>0</v>
      </c>
      <c r="AA152" s="1">
        <v>0</v>
      </c>
      <c r="AB152" s="1">
        <v>1</v>
      </c>
      <c r="AC152" s="1">
        <v>0</v>
      </c>
      <c r="AD152" s="1">
        <v>0</v>
      </c>
      <c r="AE152" s="1">
        <v>0</v>
      </c>
      <c r="AF152" s="1">
        <v>1</v>
      </c>
      <c r="AG152" s="1" t="s">
        <v>234</v>
      </c>
      <c r="AH152" s="1">
        <f t="shared" si="60"/>
        <v>1.5</v>
      </c>
      <c r="AI152" s="1">
        <f t="shared" si="60"/>
        <v>1.5</v>
      </c>
      <c r="AJ152" s="1">
        <f t="shared" si="60"/>
        <v>0.25</v>
      </c>
      <c r="AK152" s="1">
        <f t="shared" si="58"/>
        <v>1.5</v>
      </c>
      <c r="AL152" s="1">
        <f t="shared" si="53"/>
        <v>1.25</v>
      </c>
      <c r="AM152" s="1">
        <f t="shared" si="53"/>
        <v>1.25</v>
      </c>
      <c r="AN152" s="1">
        <f t="shared" si="61"/>
        <v>13</v>
      </c>
      <c r="AO152" s="23" t="str">
        <f t="shared" si="59"/>
        <v>AI-CORE</v>
      </c>
    </row>
    <row r="153" spans="1:41" x14ac:dyDescent="0.3">
      <c r="A153" s="12" t="s">
        <v>138</v>
      </c>
      <c r="B153" s="8">
        <v>2</v>
      </c>
      <c r="C153" s="8">
        <v>2</v>
      </c>
      <c r="D153" s="8">
        <v>0</v>
      </c>
      <c r="E153" s="8">
        <v>2</v>
      </c>
      <c r="F153" s="8">
        <v>1</v>
      </c>
      <c r="G153" s="8">
        <v>1</v>
      </c>
      <c r="H153" s="9">
        <f t="shared" si="54"/>
        <v>15</v>
      </c>
      <c r="I153" s="10" t="str">
        <f t="shared" si="55"/>
        <v>AI-CORE</v>
      </c>
      <c r="J153" s="8">
        <v>1</v>
      </c>
      <c r="K153" s="8">
        <v>1</v>
      </c>
      <c r="L153" s="8">
        <v>0</v>
      </c>
      <c r="M153" s="8">
        <v>1</v>
      </c>
      <c r="N153" s="8">
        <v>0</v>
      </c>
      <c r="O153" s="8">
        <v>1</v>
      </c>
      <c r="P153" s="9">
        <f t="shared" si="56"/>
        <v>8</v>
      </c>
      <c r="Q153" s="10" t="str">
        <f t="shared" si="57"/>
        <v>AI-ENABLED</v>
      </c>
      <c r="R153">
        <v>2</v>
      </c>
      <c r="S153">
        <v>1</v>
      </c>
      <c r="T153">
        <v>1</v>
      </c>
      <c r="U153">
        <v>0</v>
      </c>
      <c r="V153">
        <v>0</v>
      </c>
      <c r="W153">
        <v>1</v>
      </c>
      <c r="X153">
        <v>9</v>
      </c>
      <c r="Y153" t="s">
        <v>232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1</v>
      </c>
      <c r="AF153" s="1">
        <v>2</v>
      </c>
      <c r="AG153" s="1" t="s">
        <v>234</v>
      </c>
      <c r="AH153" s="1">
        <f t="shared" si="60"/>
        <v>1.25</v>
      </c>
      <c r="AI153" s="1">
        <f t="shared" si="60"/>
        <v>1</v>
      </c>
      <c r="AJ153" s="1">
        <f t="shared" si="60"/>
        <v>0.25</v>
      </c>
      <c r="AK153" s="1">
        <f t="shared" si="58"/>
        <v>0.75</v>
      </c>
      <c r="AL153" s="1">
        <f t="shared" si="53"/>
        <v>0.25</v>
      </c>
      <c r="AM153" s="1">
        <f t="shared" si="53"/>
        <v>1</v>
      </c>
      <c r="AN153" s="1">
        <f t="shared" si="61"/>
        <v>8.5</v>
      </c>
      <c r="AO153" s="23" t="str">
        <f t="shared" si="59"/>
        <v>AI-ENABLED</v>
      </c>
    </row>
    <row r="154" spans="1:41" x14ac:dyDescent="0.3">
      <c r="A154" s="12" t="s">
        <v>135</v>
      </c>
      <c r="B154" s="8">
        <v>2</v>
      </c>
      <c r="C154" s="8">
        <v>2</v>
      </c>
      <c r="D154" s="8">
        <v>0</v>
      </c>
      <c r="E154" s="8">
        <v>2</v>
      </c>
      <c r="F154" s="8">
        <v>1</v>
      </c>
      <c r="G154" s="8">
        <v>1</v>
      </c>
      <c r="H154" s="9">
        <f t="shared" si="54"/>
        <v>15</v>
      </c>
      <c r="I154" s="10" t="str">
        <f t="shared" si="55"/>
        <v>AI-CORE</v>
      </c>
      <c r="J154" s="8">
        <v>2</v>
      </c>
      <c r="K154" s="8">
        <v>2</v>
      </c>
      <c r="L154" s="8">
        <v>0</v>
      </c>
      <c r="M154" s="8">
        <v>2</v>
      </c>
      <c r="N154" s="8">
        <v>1</v>
      </c>
      <c r="O154" s="8">
        <v>1</v>
      </c>
      <c r="P154" s="9">
        <f t="shared" si="56"/>
        <v>15</v>
      </c>
      <c r="Q154" s="10" t="str">
        <f t="shared" si="57"/>
        <v>AI-CORE</v>
      </c>
      <c r="R154">
        <v>2</v>
      </c>
      <c r="S154">
        <v>2</v>
      </c>
      <c r="T154">
        <v>2</v>
      </c>
      <c r="U154">
        <v>2</v>
      </c>
      <c r="V154">
        <v>0</v>
      </c>
      <c r="W154">
        <v>0</v>
      </c>
      <c r="X154">
        <v>14</v>
      </c>
      <c r="Y154" t="s">
        <v>235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 t="s">
        <v>234</v>
      </c>
      <c r="AH154" s="1">
        <f t="shared" si="60"/>
        <v>1.5</v>
      </c>
      <c r="AI154" s="1">
        <f t="shared" si="60"/>
        <v>1.5</v>
      </c>
      <c r="AJ154" s="1">
        <f t="shared" si="60"/>
        <v>0.5</v>
      </c>
      <c r="AK154" s="1">
        <f t="shared" si="58"/>
        <v>1.5</v>
      </c>
      <c r="AL154" s="1">
        <f t="shared" si="53"/>
        <v>0.5</v>
      </c>
      <c r="AM154" s="1">
        <f t="shared" si="53"/>
        <v>0.5</v>
      </c>
      <c r="AN154" s="1">
        <f t="shared" si="61"/>
        <v>11</v>
      </c>
      <c r="AO154" s="23" t="str">
        <f t="shared" si="59"/>
        <v>AI-ENABLED</v>
      </c>
    </row>
    <row r="155" spans="1:41" x14ac:dyDescent="0.3">
      <c r="A155" s="11" t="s">
        <v>125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9">
        <f t="shared" si="54"/>
        <v>0</v>
      </c>
      <c r="I155" s="10" t="str">
        <f t="shared" si="55"/>
        <v>DETERMINIST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9">
        <f t="shared" si="56"/>
        <v>0</v>
      </c>
      <c r="Q155" s="10" t="str">
        <f t="shared" si="57"/>
        <v>DETERMINIST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234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 t="s">
        <v>234</v>
      </c>
      <c r="AH155" s="1">
        <f t="shared" si="60"/>
        <v>0</v>
      </c>
      <c r="AI155" s="1">
        <f t="shared" si="60"/>
        <v>0</v>
      </c>
      <c r="AJ155" s="1">
        <f t="shared" si="60"/>
        <v>0</v>
      </c>
      <c r="AK155" s="1">
        <f t="shared" si="58"/>
        <v>0</v>
      </c>
      <c r="AL155" s="1">
        <f t="shared" si="53"/>
        <v>0</v>
      </c>
      <c r="AM155" s="1">
        <f t="shared" si="53"/>
        <v>0</v>
      </c>
      <c r="AN155" s="1">
        <f t="shared" si="61"/>
        <v>0</v>
      </c>
      <c r="AO155" s="23" t="str">
        <f t="shared" si="59"/>
        <v>DETERMINIST</v>
      </c>
    </row>
    <row r="156" spans="1:41" x14ac:dyDescent="0.3">
      <c r="A156" s="18" t="s">
        <v>183</v>
      </c>
      <c r="B156" s="8">
        <v>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9">
        <f t="shared" si="54"/>
        <v>0</v>
      </c>
      <c r="I156" s="10" t="str">
        <f t="shared" si="55"/>
        <v>DETERMINIST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9">
        <f t="shared" si="56"/>
        <v>0</v>
      </c>
      <c r="Q156" s="10" t="str">
        <f t="shared" si="57"/>
        <v>DETERMINIST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2</v>
      </c>
      <c r="Y156" t="s">
        <v>234</v>
      </c>
      <c r="Z156" s="1">
        <v>0</v>
      </c>
      <c r="AA156" s="1">
        <v>0</v>
      </c>
      <c r="AB156" s="1">
        <v>1</v>
      </c>
      <c r="AC156" s="1">
        <v>0</v>
      </c>
      <c r="AD156" s="1">
        <v>0</v>
      </c>
      <c r="AE156" s="1">
        <v>0</v>
      </c>
      <c r="AF156" s="1">
        <v>1</v>
      </c>
      <c r="AG156" s="1" t="s">
        <v>234</v>
      </c>
      <c r="AH156" s="1">
        <f t="shared" si="60"/>
        <v>0</v>
      </c>
      <c r="AI156" s="1">
        <f t="shared" si="60"/>
        <v>0.25</v>
      </c>
      <c r="AJ156" s="1">
        <f t="shared" si="60"/>
        <v>0.25</v>
      </c>
      <c r="AK156" s="1">
        <f t="shared" si="58"/>
        <v>0</v>
      </c>
      <c r="AL156" s="1">
        <f t="shared" si="53"/>
        <v>0</v>
      </c>
      <c r="AM156" s="1">
        <f t="shared" si="53"/>
        <v>0</v>
      </c>
      <c r="AN156" s="1">
        <f t="shared" si="61"/>
        <v>0.75</v>
      </c>
      <c r="AO156" s="23" t="str">
        <f t="shared" si="59"/>
        <v>DETERMINIST</v>
      </c>
    </row>
    <row r="157" spans="1:41" x14ac:dyDescent="0.3">
      <c r="A157" s="17" t="s">
        <v>171</v>
      </c>
      <c r="B157" s="8">
        <v>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9">
        <f t="shared" si="54"/>
        <v>0</v>
      </c>
      <c r="I157" s="10" t="str">
        <f t="shared" si="55"/>
        <v>DETERMINIST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9">
        <f t="shared" si="56"/>
        <v>0</v>
      </c>
      <c r="Q157" s="10" t="str">
        <f t="shared" si="57"/>
        <v>DETERMINIST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234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 t="s">
        <v>234</v>
      </c>
      <c r="AH157" s="1">
        <f t="shared" si="60"/>
        <v>0</v>
      </c>
      <c r="AI157" s="1">
        <f t="shared" si="60"/>
        <v>0</v>
      </c>
      <c r="AJ157" s="1">
        <f t="shared" si="60"/>
        <v>0</v>
      </c>
      <c r="AK157" s="1">
        <f t="shared" si="58"/>
        <v>0</v>
      </c>
      <c r="AL157" s="1">
        <f t="shared" si="53"/>
        <v>0</v>
      </c>
      <c r="AM157" s="1">
        <f t="shared" si="53"/>
        <v>0</v>
      </c>
      <c r="AN157" s="1">
        <f t="shared" si="61"/>
        <v>0</v>
      </c>
      <c r="AO157" s="23" t="str">
        <f t="shared" si="59"/>
        <v>DETERMINIST</v>
      </c>
    </row>
    <row r="158" spans="1:41" x14ac:dyDescent="0.3">
      <c r="A158" s="16" t="s">
        <v>167</v>
      </c>
      <c r="B158" s="8">
        <v>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9">
        <f t="shared" si="54"/>
        <v>0</v>
      </c>
      <c r="I158" s="10" t="str">
        <f t="shared" si="55"/>
        <v>DETERMINIST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9">
        <f t="shared" si="56"/>
        <v>0</v>
      </c>
      <c r="Q158" s="10" t="str">
        <f t="shared" si="57"/>
        <v>DETERMINIST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2</v>
      </c>
      <c r="Y158" t="s">
        <v>234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 t="s">
        <v>234</v>
      </c>
      <c r="AH158" s="1">
        <f t="shared" si="60"/>
        <v>0</v>
      </c>
      <c r="AI158" s="1">
        <f t="shared" si="60"/>
        <v>0.25</v>
      </c>
      <c r="AJ158" s="1">
        <f t="shared" si="60"/>
        <v>0</v>
      </c>
      <c r="AK158" s="1">
        <f t="shared" si="58"/>
        <v>0</v>
      </c>
      <c r="AL158" s="1">
        <f t="shared" si="53"/>
        <v>0</v>
      </c>
      <c r="AM158" s="1">
        <f t="shared" si="53"/>
        <v>0</v>
      </c>
      <c r="AN158" s="1">
        <f t="shared" si="61"/>
        <v>0.5</v>
      </c>
      <c r="AO158" s="23" t="str">
        <f t="shared" si="59"/>
        <v>DETERMINIST</v>
      </c>
    </row>
    <row r="159" spans="1:41" x14ac:dyDescent="0.3">
      <c r="A159" s="17" t="s">
        <v>86</v>
      </c>
      <c r="B159" s="8">
        <v>2</v>
      </c>
      <c r="C159" s="8">
        <v>2</v>
      </c>
      <c r="D159" s="8">
        <v>0</v>
      </c>
      <c r="E159" s="8">
        <v>1</v>
      </c>
      <c r="F159" s="8">
        <v>0</v>
      </c>
      <c r="G159" s="8">
        <v>0</v>
      </c>
      <c r="H159" s="9">
        <f t="shared" si="54"/>
        <v>10</v>
      </c>
      <c r="I159" s="10" t="str">
        <f t="shared" si="55"/>
        <v>AI-ENABLED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9">
        <f t="shared" si="56"/>
        <v>0</v>
      </c>
      <c r="Q159" s="10" t="str">
        <f t="shared" si="57"/>
        <v>DETERMINIST</v>
      </c>
      <c r="R159">
        <v>2</v>
      </c>
      <c r="S159">
        <v>2</v>
      </c>
      <c r="T159">
        <v>0</v>
      </c>
      <c r="U159">
        <v>1</v>
      </c>
      <c r="V159">
        <v>1</v>
      </c>
      <c r="W159">
        <v>0</v>
      </c>
      <c r="X159">
        <v>11</v>
      </c>
      <c r="Y159" t="s">
        <v>232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 t="s">
        <v>234</v>
      </c>
      <c r="AH159" s="1">
        <f t="shared" si="60"/>
        <v>1</v>
      </c>
      <c r="AI159" s="1">
        <f t="shared" si="60"/>
        <v>1</v>
      </c>
      <c r="AJ159" s="1">
        <f t="shared" si="60"/>
        <v>0</v>
      </c>
      <c r="AK159" s="1">
        <f t="shared" si="58"/>
        <v>0.5</v>
      </c>
      <c r="AL159" s="1">
        <f t="shared" si="53"/>
        <v>0.25</v>
      </c>
      <c r="AM159" s="1">
        <f t="shared" si="53"/>
        <v>0</v>
      </c>
      <c r="AN159" s="1">
        <f t="shared" si="61"/>
        <v>5.25</v>
      </c>
      <c r="AO159" s="23" t="str">
        <f t="shared" si="59"/>
        <v>AI-ADJACENT</v>
      </c>
    </row>
    <row r="160" spans="1:41" ht="27.6" x14ac:dyDescent="0.3">
      <c r="A160" s="15" t="s">
        <v>67</v>
      </c>
      <c r="B160" s="8">
        <v>2</v>
      </c>
      <c r="C160" s="8">
        <v>2</v>
      </c>
      <c r="D160" s="8">
        <v>0</v>
      </c>
      <c r="E160" s="8">
        <v>2</v>
      </c>
      <c r="F160" s="8">
        <v>1</v>
      </c>
      <c r="G160" s="8">
        <v>1</v>
      </c>
      <c r="H160" s="9">
        <f t="shared" si="54"/>
        <v>15</v>
      </c>
      <c r="I160" s="10" t="str">
        <f t="shared" si="55"/>
        <v>AI-CORE</v>
      </c>
      <c r="J160" s="8">
        <v>2</v>
      </c>
      <c r="K160" s="8">
        <v>2</v>
      </c>
      <c r="L160" s="8">
        <v>0</v>
      </c>
      <c r="M160" s="8">
        <v>2</v>
      </c>
      <c r="N160" s="8">
        <v>1</v>
      </c>
      <c r="O160" s="8">
        <v>0</v>
      </c>
      <c r="P160" s="9">
        <f t="shared" si="56"/>
        <v>13</v>
      </c>
      <c r="Q160" s="10" t="str">
        <f t="shared" si="57"/>
        <v>AI-CORE</v>
      </c>
      <c r="R160">
        <v>2</v>
      </c>
      <c r="S160">
        <v>2</v>
      </c>
      <c r="T160">
        <v>0</v>
      </c>
      <c r="U160">
        <v>2</v>
      </c>
      <c r="V160">
        <v>0</v>
      </c>
      <c r="W160">
        <v>0</v>
      </c>
      <c r="X160">
        <v>12</v>
      </c>
      <c r="Y160" t="s">
        <v>235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 t="s">
        <v>234</v>
      </c>
      <c r="AH160" s="1">
        <f t="shared" si="60"/>
        <v>1.5</v>
      </c>
      <c r="AI160" s="1">
        <f t="shared" si="60"/>
        <v>1.5</v>
      </c>
      <c r="AJ160" s="1">
        <f t="shared" si="60"/>
        <v>0</v>
      </c>
      <c r="AK160" s="1">
        <f t="shared" si="58"/>
        <v>1.5</v>
      </c>
      <c r="AL160" s="1">
        <f t="shared" si="53"/>
        <v>0.5</v>
      </c>
      <c r="AM160" s="1">
        <f t="shared" si="53"/>
        <v>0.25</v>
      </c>
      <c r="AN160" s="1">
        <f t="shared" si="61"/>
        <v>10</v>
      </c>
      <c r="AO160" s="23" t="str">
        <f t="shared" si="59"/>
        <v>AI-ENABLED</v>
      </c>
    </row>
    <row r="161" spans="1:41" x14ac:dyDescent="0.3">
      <c r="A161" s="19" t="s">
        <v>190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9">
        <f t="shared" si="54"/>
        <v>0</v>
      </c>
      <c r="I161" s="10" t="str">
        <f t="shared" si="55"/>
        <v>DETERMINIST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9">
        <f t="shared" si="56"/>
        <v>0</v>
      </c>
      <c r="Q161" s="10" t="str">
        <f t="shared" si="57"/>
        <v>DETERMINIST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2</v>
      </c>
      <c r="Y161" t="s">
        <v>234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 t="s">
        <v>234</v>
      </c>
      <c r="AH161" s="1">
        <f t="shared" si="60"/>
        <v>0</v>
      </c>
      <c r="AI161" s="1">
        <f t="shared" si="60"/>
        <v>0.25</v>
      </c>
      <c r="AJ161" s="1">
        <f t="shared" si="60"/>
        <v>0</v>
      </c>
      <c r="AK161" s="1">
        <f t="shared" si="58"/>
        <v>0</v>
      </c>
      <c r="AL161" s="1">
        <f t="shared" si="53"/>
        <v>0</v>
      </c>
      <c r="AM161" s="1">
        <f t="shared" si="53"/>
        <v>0</v>
      </c>
      <c r="AN161" s="1">
        <f t="shared" si="61"/>
        <v>0.5</v>
      </c>
      <c r="AO161" s="23" t="str">
        <f t="shared" si="59"/>
        <v>DETERMINIST</v>
      </c>
    </row>
    <row r="162" spans="1:41" x14ac:dyDescent="0.3">
      <c r="A162" s="16" t="s">
        <v>80</v>
      </c>
      <c r="B162" s="8">
        <v>2</v>
      </c>
      <c r="C162" s="8">
        <v>2</v>
      </c>
      <c r="D162" s="8">
        <v>0</v>
      </c>
      <c r="E162" s="8">
        <v>2</v>
      </c>
      <c r="F162" s="8">
        <v>0</v>
      </c>
      <c r="G162" s="8">
        <v>0</v>
      </c>
      <c r="H162" s="9">
        <f t="shared" ref="H162:H193" si="62">B162*2+C162*2+D162+E162*2+F162+G162*2</f>
        <v>12</v>
      </c>
      <c r="I162" s="10" t="str">
        <f t="shared" ref="I162:I193" si="63">IF(H162="","",IF(H162&lt;=2,"DETERMINIST",IF(H162&lt;=6,"AI-ADJACENT",IF(H162&lt;=11,"AI-ENABLED",IF(H162&lt;=17,"AI-CORE","AI-NATIVE")))))</f>
        <v>AI-CORE</v>
      </c>
      <c r="J162" s="8">
        <v>2</v>
      </c>
      <c r="K162" s="8">
        <v>2</v>
      </c>
      <c r="L162" s="8">
        <v>0</v>
      </c>
      <c r="M162" s="8">
        <v>2</v>
      </c>
      <c r="N162" s="8">
        <v>1</v>
      </c>
      <c r="O162" s="8">
        <v>1</v>
      </c>
      <c r="P162" s="9">
        <f t="shared" ref="P162:P193" si="64">J162*2+K162*2+L162+M162*2+N162+O162*2</f>
        <v>15</v>
      </c>
      <c r="Q162" s="10" t="str">
        <f t="shared" ref="Q162:Q193" si="65">IF(P162="","",IF(P162&lt;=2,"DETERMINIST",IF(P162&lt;=6,"AI-ADJACENT",IF(P162&lt;=11,"AI-ENABLED",IF(P162&lt;=17,"AI-CORE","AI-NATIVE")))))</f>
        <v>AI-CORE</v>
      </c>
      <c r="R162">
        <v>2</v>
      </c>
      <c r="S162">
        <v>2</v>
      </c>
      <c r="T162">
        <v>0</v>
      </c>
      <c r="U162">
        <v>2</v>
      </c>
      <c r="V162">
        <v>1</v>
      </c>
      <c r="W162">
        <v>0</v>
      </c>
      <c r="X162">
        <v>13</v>
      </c>
      <c r="Y162" t="s">
        <v>235</v>
      </c>
      <c r="Z162" s="1">
        <v>0</v>
      </c>
      <c r="AA162" s="1">
        <v>0</v>
      </c>
      <c r="AB162" s="1">
        <v>1</v>
      </c>
      <c r="AC162" s="1">
        <v>2</v>
      </c>
      <c r="AD162" s="1">
        <v>0</v>
      </c>
      <c r="AE162" s="1">
        <v>0</v>
      </c>
      <c r="AF162" s="1">
        <v>5</v>
      </c>
      <c r="AG162" s="1" t="s">
        <v>233</v>
      </c>
      <c r="AH162" s="1">
        <f t="shared" si="60"/>
        <v>1.5</v>
      </c>
      <c r="AI162" s="1">
        <f t="shared" si="60"/>
        <v>1.5</v>
      </c>
      <c r="AJ162" s="1">
        <f t="shared" si="60"/>
        <v>0.25</v>
      </c>
      <c r="AK162" s="1">
        <f t="shared" si="58"/>
        <v>2</v>
      </c>
      <c r="AL162" s="1">
        <f t="shared" si="53"/>
        <v>0.5</v>
      </c>
      <c r="AM162" s="1">
        <f t="shared" si="53"/>
        <v>0.25</v>
      </c>
      <c r="AN162" s="1">
        <f t="shared" si="61"/>
        <v>11.25</v>
      </c>
      <c r="AO162" s="23" t="str">
        <f t="shared" si="59"/>
        <v>AI-CORE</v>
      </c>
    </row>
    <row r="163" spans="1:41" x14ac:dyDescent="0.3">
      <c r="A163" s="7" t="s">
        <v>26</v>
      </c>
      <c r="B163" s="8">
        <v>0</v>
      </c>
      <c r="C163" s="8">
        <v>0</v>
      </c>
      <c r="D163" s="8">
        <v>0</v>
      </c>
      <c r="E163" s="8">
        <v>1</v>
      </c>
      <c r="F163" s="8">
        <v>2</v>
      </c>
      <c r="G163" s="8">
        <v>0</v>
      </c>
      <c r="H163" s="9">
        <f t="shared" si="62"/>
        <v>4</v>
      </c>
      <c r="I163" s="10" t="str">
        <f t="shared" si="63"/>
        <v>AI-ADJACENT</v>
      </c>
      <c r="J163" s="8">
        <v>0</v>
      </c>
      <c r="K163" s="8">
        <v>1</v>
      </c>
      <c r="L163" s="8">
        <v>0</v>
      </c>
      <c r="M163" s="8">
        <v>0</v>
      </c>
      <c r="N163" s="8">
        <v>1</v>
      </c>
      <c r="O163" s="8">
        <v>1</v>
      </c>
      <c r="P163" s="9">
        <f t="shared" si="64"/>
        <v>5</v>
      </c>
      <c r="Q163" s="10" t="str">
        <f t="shared" si="65"/>
        <v>AI-ADJACENT</v>
      </c>
      <c r="R163">
        <v>2</v>
      </c>
      <c r="S163">
        <v>2</v>
      </c>
      <c r="T163">
        <v>1</v>
      </c>
      <c r="U163">
        <v>2</v>
      </c>
      <c r="V163">
        <v>1</v>
      </c>
      <c r="W163">
        <v>1</v>
      </c>
      <c r="X163">
        <v>16</v>
      </c>
      <c r="Y163" t="s">
        <v>235</v>
      </c>
      <c r="Z163" s="1">
        <v>0</v>
      </c>
      <c r="AA163" s="1">
        <v>0</v>
      </c>
      <c r="AB163" s="1">
        <v>1</v>
      </c>
      <c r="AC163" s="1">
        <v>0</v>
      </c>
      <c r="AD163" s="1">
        <v>0</v>
      </c>
      <c r="AE163" s="1">
        <v>0</v>
      </c>
      <c r="AF163" s="1">
        <v>1</v>
      </c>
      <c r="AG163" s="1" t="s">
        <v>234</v>
      </c>
      <c r="AH163" s="1">
        <f t="shared" si="60"/>
        <v>0.5</v>
      </c>
      <c r="AI163" s="1">
        <f t="shared" si="60"/>
        <v>0.75</v>
      </c>
      <c r="AJ163" s="1">
        <f t="shared" si="60"/>
        <v>0.5</v>
      </c>
      <c r="AK163" s="1">
        <f t="shared" si="58"/>
        <v>0.75</v>
      </c>
      <c r="AL163" s="1">
        <f t="shared" si="53"/>
        <v>1</v>
      </c>
      <c r="AM163" s="1">
        <f t="shared" si="53"/>
        <v>0.5</v>
      </c>
      <c r="AN163" s="1">
        <f t="shared" si="61"/>
        <v>6.5</v>
      </c>
      <c r="AO163" s="23" t="str">
        <f t="shared" si="59"/>
        <v>AI-ENABLED</v>
      </c>
    </row>
    <row r="164" spans="1:41" x14ac:dyDescent="0.3">
      <c r="A164" s="17" t="s">
        <v>173</v>
      </c>
      <c r="B164" s="8">
        <v>0</v>
      </c>
      <c r="C164" s="8">
        <v>0</v>
      </c>
      <c r="D164" s="8">
        <v>0</v>
      </c>
      <c r="E164" s="8">
        <v>0</v>
      </c>
      <c r="F164" s="8">
        <v>1</v>
      </c>
      <c r="G164" s="8">
        <v>1</v>
      </c>
      <c r="H164" s="9">
        <f t="shared" si="62"/>
        <v>3</v>
      </c>
      <c r="I164" s="10" t="str">
        <f t="shared" si="63"/>
        <v>AI-ADJACENT</v>
      </c>
      <c r="J164" s="8">
        <v>0</v>
      </c>
      <c r="K164" s="8">
        <v>0</v>
      </c>
      <c r="L164" s="8">
        <v>1</v>
      </c>
      <c r="M164" s="8">
        <v>0</v>
      </c>
      <c r="N164" s="8">
        <v>1</v>
      </c>
      <c r="O164" s="8">
        <v>0</v>
      </c>
      <c r="P164" s="9">
        <f t="shared" si="64"/>
        <v>2</v>
      </c>
      <c r="Q164" s="10" t="str">
        <f t="shared" si="65"/>
        <v>DETERMINIST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3</v>
      </c>
      <c r="Y164" t="s">
        <v>233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 t="s">
        <v>234</v>
      </c>
      <c r="AH164" s="1">
        <f t="shared" si="60"/>
        <v>0</v>
      </c>
      <c r="AI164" s="1">
        <f t="shared" si="60"/>
        <v>0.25</v>
      </c>
      <c r="AJ164" s="1">
        <f t="shared" si="60"/>
        <v>0.5</v>
      </c>
      <c r="AK164" s="1">
        <f t="shared" si="58"/>
        <v>0</v>
      </c>
      <c r="AL164" s="1">
        <f t="shared" si="53"/>
        <v>0.5</v>
      </c>
      <c r="AM164" s="1">
        <f t="shared" si="53"/>
        <v>0.25</v>
      </c>
      <c r="AN164" s="1">
        <f t="shared" si="61"/>
        <v>2</v>
      </c>
      <c r="AO164" s="23" t="str">
        <f t="shared" si="59"/>
        <v>DETERMINIST</v>
      </c>
    </row>
    <row r="165" spans="1:41" x14ac:dyDescent="0.3">
      <c r="A165" s="14" t="s">
        <v>148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9">
        <f t="shared" si="62"/>
        <v>0</v>
      </c>
      <c r="I165" s="10" t="str">
        <f t="shared" si="63"/>
        <v>DETERMINIST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9">
        <f t="shared" si="64"/>
        <v>0</v>
      </c>
      <c r="Q165" s="10" t="str">
        <f t="shared" si="65"/>
        <v>DETERMINIST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234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 t="s">
        <v>234</v>
      </c>
      <c r="AH165" s="1">
        <f t="shared" si="60"/>
        <v>0</v>
      </c>
      <c r="AI165" s="1">
        <f t="shared" si="60"/>
        <v>0</v>
      </c>
      <c r="AJ165" s="1">
        <f t="shared" si="60"/>
        <v>0</v>
      </c>
      <c r="AK165" s="1">
        <f t="shared" si="58"/>
        <v>0</v>
      </c>
      <c r="AL165" s="1">
        <f t="shared" si="53"/>
        <v>0</v>
      </c>
      <c r="AM165" s="1">
        <f t="shared" si="53"/>
        <v>0</v>
      </c>
      <c r="AN165" s="1">
        <f t="shared" si="61"/>
        <v>0</v>
      </c>
      <c r="AO165" s="23" t="str">
        <f t="shared" si="59"/>
        <v>DETERMINIST</v>
      </c>
    </row>
    <row r="166" spans="1:41" x14ac:dyDescent="0.3">
      <c r="A166" s="15" t="s">
        <v>160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9">
        <f t="shared" si="62"/>
        <v>0</v>
      </c>
      <c r="I166" s="10" t="str">
        <f t="shared" si="63"/>
        <v>DETERMINIST</v>
      </c>
      <c r="J166" s="8">
        <v>0</v>
      </c>
      <c r="K166" s="8">
        <v>1</v>
      </c>
      <c r="L166" s="8">
        <v>0</v>
      </c>
      <c r="M166" s="8">
        <v>0</v>
      </c>
      <c r="N166" s="8">
        <v>0</v>
      </c>
      <c r="O166" s="8">
        <v>0</v>
      </c>
      <c r="P166" s="9">
        <f t="shared" si="64"/>
        <v>2</v>
      </c>
      <c r="Q166" s="10" t="str">
        <f t="shared" si="65"/>
        <v>DETERMINIST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2</v>
      </c>
      <c r="Y166" t="s">
        <v>234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 t="s">
        <v>234</v>
      </c>
      <c r="AH166" s="1">
        <f t="shared" si="60"/>
        <v>0</v>
      </c>
      <c r="AI166" s="1">
        <f t="shared" si="60"/>
        <v>0.5</v>
      </c>
      <c r="AJ166" s="1">
        <f t="shared" si="60"/>
        <v>0</v>
      </c>
      <c r="AK166" s="1">
        <f t="shared" si="58"/>
        <v>0</v>
      </c>
      <c r="AL166" s="1">
        <f t="shared" si="53"/>
        <v>0</v>
      </c>
      <c r="AM166" s="1">
        <f t="shared" si="53"/>
        <v>0</v>
      </c>
      <c r="AN166" s="1">
        <f t="shared" si="61"/>
        <v>1</v>
      </c>
      <c r="AO166" s="23" t="str">
        <f t="shared" si="59"/>
        <v>DETERMINIST</v>
      </c>
    </row>
    <row r="167" spans="1:41" x14ac:dyDescent="0.3">
      <c r="A167" s="19" t="s">
        <v>186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9">
        <f t="shared" si="62"/>
        <v>0</v>
      </c>
      <c r="I167" s="10" t="str">
        <f t="shared" si="63"/>
        <v>DETERMINIST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9">
        <f t="shared" si="64"/>
        <v>0</v>
      </c>
      <c r="Q167" s="10" t="str">
        <f t="shared" si="65"/>
        <v>DETERMINIST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234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 t="s">
        <v>234</v>
      </c>
      <c r="AH167" s="1">
        <f t="shared" si="60"/>
        <v>0</v>
      </c>
      <c r="AI167" s="1">
        <f t="shared" si="60"/>
        <v>0</v>
      </c>
      <c r="AJ167" s="1">
        <f t="shared" si="60"/>
        <v>0</v>
      </c>
      <c r="AK167" s="1">
        <f t="shared" si="58"/>
        <v>0</v>
      </c>
      <c r="AL167" s="1">
        <f t="shared" si="53"/>
        <v>0</v>
      </c>
      <c r="AM167" s="1">
        <f t="shared" si="53"/>
        <v>0</v>
      </c>
      <c r="AN167" s="1">
        <f t="shared" si="61"/>
        <v>0</v>
      </c>
      <c r="AO167" s="23" t="str">
        <f t="shared" si="59"/>
        <v>DETERMINIST</v>
      </c>
    </row>
    <row r="168" spans="1:41" x14ac:dyDescent="0.3">
      <c r="A168" s="16" t="s">
        <v>77</v>
      </c>
      <c r="B168" s="8">
        <v>2</v>
      </c>
      <c r="C168" s="8">
        <v>2</v>
      </c>
      <c r="D168" s="8">
        <v>0</v>
      </c>
      <c r="E168" s="8">
        <v>2</v>
      </c>
      <c r="F168" s="8">
        <v>0</v>
      </c>
      <c r="G168" s="8">
        <v>0</v>
      </c>
      <c r="H168" s="9">
        <f t="shared" si="62"/>
        <v>12</v>
      </c>
      <c r="I168" s="10" t="str">
        <f t="shared" si="63"/>
        <v>AI-CORE</v>
      </c>
      <c r="J168" s="8">
        <v>2</v>
      </c>
      <c r="K168" s="8">
        <v>2</v>
      </c>
      <c r="L168" s="8">
        <v>0</v>
      </c>
      <c r="M168" s="8">
        <v>2</v>
      </c>
      <c r="N168" s="8">
        <v>1</v>
      </c>
      <c r="O168" s="8">
        <v>1</v>
      </c>
      <c r="P168" s="9">
        <f t="shared" si="64"/>
        <v>15</v>
      </c>
      <c r="Q168" s="10" t="str">
        <f t="shared" si="65"/>
        <v>AI-CORE</v>
      </c>
      <c r="R168">
        <v>2</v>
      </c>
      <c r="S168">
        <v>2</v>
      </c>
      <c r="T168">
        <v>0</v>
      </c>
      <c r="U168">
        <v>2</v>
      </c>
      <c r="V168">
        <v>0</v>
      </c>
      <c r="W168">
        <v>0</v>
      </c>
      <c r="X168">
        <v>12</v>
      </c>
      <c r="Y168" t="s">
        <v>235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 t="s">
        <v>234</v>
      </c>
      <c r="AH168" s="1">
        <f t="shared" si="60"/>
        <v>1.5</v>
      </c>
      <c r="AI168" s="1">
        <f t="shared" si="60"/>
        <v>1.5</v>
      </c>
      <c r="AJ168" s="1">
        <f t="shared" si="60"/>
        <v>0</v>
      </c>
      <c r="AK168" s="1">
        <f t="shared" si="58"/>
        <v>1.5</v>
      </c>
      <c r="AL168" s="1">
        <f t="shared" si="53"/>
        <v>0.25</v>
      </c>
      <c r="AM168" s="1">
        <f t="shared" si="53"/>
        <v>0.25</v>
      </c>
      <c r="AN168" s="1">
        <f t="shared" si="61"/>
        <v>9.75</v>
      </c>
      <c r="AO168" s="23" t="str">
        <f t="shared" si="59"/>
        <v>AI-ENABLED</v>
      </c>
    </row>
    <row r="169" spans="1:41" x14ac:dyDescent="0.3">
      <c r="A169" s="14" t="s">
        <v>58</v>
      </c>
      <c r="B169" s="8">
        <v>2</v>
      </c>
      <c r="C169" s="8">
        <v>2</v>
      </c>
      <c r="D169" s="8">
        <v>0</v>
      </c>
      <c r="E169" s="8">
        <v>2</v>
      </c>
      <c r="F169" s="8">
        <v>2</v>
      </c>
      <c r="G169" s="8">
        <v>1</v>
      </c>
      <c r="H169" s="9">
        <f t="shared" si="62"/>
        <v>16</v>
      </c>
      <c r="I169" s="10" t="str">
        <f t="shared" si="63"/>
        <v>AI-CORE</v>
      </c>
      <c r="J169" s="8">
        <v>2</v>
      </c>
      <c r="K169" s="8">
        <v>2</v>
      </c>
      <c r="L169" s="8">
        <v>0</v>
      </c>
      <c r="M169" s="8">
        <v>2</v>
      </c>
      <c r="N169" s="8">
        <v>2</v>
      </c>
      <c r="O169" s="8">
        <v>1</v>
      </c>
      <c r="P169" s="9">
        <f t="shared" si="64"/>
        <v>16</v>
      </c>
      <c r="Q169" s="10" t="str">
        <f t="shared" si="65"/>
        <v>AI-CORE</v>
      </c>
      <c r="R169">
        <v>2</v>
      </c>
      <c r="S169">
        <v>2</v>
      </c>
      <c r="T169">
        <v>0</v>
      </c>
      <c r="U169">
        <v>2</v>
      </c>
      <c r="V169">
        <v>2</v>
      </c>
      <c r="W169">
        <v>0</v>
      </c>
      <c r="X169">
        <v>14</v>
      </c>
      <c r="Y169" t="s">
        <v>235</v>
      </c>
      <c r="Z169" s="1">
        <v>2</v>
      </c>
      <c r="AA169" s="1">
        <v>2</v>
      </c>
      <c r="AB169" s="1">
        <v>0</v>
      </c>
      <c r="AC169" s="1">
        <v>2</v>
      </c>
      <c r="AD169" s="1">
        <v>2</v>
      </c>
      <c r="AE169" s="1">
        <v>0</v>
      </c>
      <c r="AF169" s="1">
        <v>14</v>
      </c>
      <c r="AG169" s="1" t="s">
        <v>235</v>
      </c>
      <c r="AH169" s="1">
        <f t="shared" si="60"/>
        <v>2</v>
      </c>
      <c r="AI169" s="1">
        <f t="shared" si="60"/>
        <v>2</v>
      </c>
      <c r="AJ169" s="1">
        <f t="shared" si="60"/>
        <v>0</v>
      </c>
      <c r="AK169" s="1">
        <f t="shared" si="58"/>
        <v>2</v>
      </c>
      <c r="AL169" s="1">
        <f t="shared" si="53"/>
        <v>2</v>
      </c>
      <c r="AM169" s="1">
        <f t="shared" si="53"/>
        <v>0.5</v>
      </c>
      <c r="AN169" s="1">
        <f t="shared" si="61"/>
        <v>15</v>
      </c>
      <c r="AO169" s="23" t="str">
        <f t="shared" si="59"/>
        <v>AI-CORE</v>
      </c>
    </row>
    <row r="170" spans="1:41" x14ac:dyDescent="0.3">
      <c r="A170" s="19" t="s">
        <v>100</v>
      </c>
      <c r="B170" s="8">
        <v>2</v>
      </c>
      <c r="C170" s="8">
        <v>2</v>
      </c>
      <c r="D170" s="8">
        <v>2</v>
      </c>
      <c r="E170" s="8">
        <v>2</v>
      </c>
      <c r="F170" s="8">
        <v>2</v>
      </c>
      <c r="G170" s="8">
        <v>2</v>
      </c>
      <c r="H170" s="9">
        <f t="shared" si="62"/>
        <v>20</v>
      </c>
      <c r="I170" s="10" t="str">
        <f t="shared" si="63"/>
        <v>AI-NATIVE</v>
      </c>
      <c r="J170" s="8">
        <v>2</v>
      </c>
      <c r="K170" s="8">
        <v>2</v>
      </c>
      <c r="L170" s="8">
        <v>2</v>
      </c>
      <c r="M170" s="8">
        <v>2</v>
      </c>
      <c r="N170" s="8">
        <v>2</v>
      </c>
      <c r="O170" s="8">
        <v>2</v>
      </c>
      <c r="P170" s="9">
        <f t="shared" si="64"/>
        <v>20</v>
      </c>
      <c r="Q170" s="10" t="str">
        <f t="shared" si="65"/>
        <v>AI-NATIVE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0</v>
      </c>
      <c r="X170">
        <v>16</v>
      </c>
      <c r="Y170" t="s">
        <v>235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 t="s">
        <v>234</v>
      </c>
      <c r="AH170" s="1">
        <f t="shared" si="60"/>
        <v>1.5</v>
      </c>
      <c r="AI170" s="1">
        <f t="shared" si="60"/>
        <v>1.5</v>
      </c>
      <c r="AJ170" s="1">
        <f t="shared" si="60"/>
        <v>1.5</v>
      </c>
      <c r="AK170" s="1">
        <f t="shared" si="58"/>
        <v>1.5</v>
      </c>
      <c r="AL170" s="1">
        <f t="shared" si="53"/>
        <v>1.5</v>
      </c>
      <c r="AM170" s="1">
        <f t="shared" si="53"/>
        <v>1</v>
      </c>
      <c r="AN170" s="1">
        <f t="shared" si="61"/>
        <v>14</v>
      </c>
      <c r="AO170" s="23" t="str">
        <f t="shared" si="59"/>
        <v>AI-CORE</v>
      </c>
    </row>
    <row r="171" spans="1:41" x14ac:dyDescent="0.3">
      <c r="A171" s="11" t="s">
        <v>36</v>
      </c>
      <c r="B171" s="8">
        <v>2</v>
      </c>
      <c r="C171" s="8">
        <v>2</v>
      </c>
      <c r="D171" s="8">
        <v>0</v>
      </c>
      <c r="E171" s="8">
        <v>2</v>
      </c>
      <c r="F171" s="8">
        <v>2</v>
      </c>
      <c r="G171" s="8">
        <v>2</v>
      </c>
      <c r="H171" s="9">
        <f t="shared" si="62"/>
        <v>18</v>
      </c>
      <c r="I171" s="10" t="str">
        <f t="shared" si="63"/>
        <v>AI-NATIVE</v>
      </c>
      <c r="J171" s="8">
        <v>2</v>
      </c>
      <c r="K171" s="8">
        <v>2</v>
      </c>
      <c r="L171" s="8">
        <v>1</v>
      </c>
      <c r="M171" s="8">
        <v>2</v>
      </c>
      <c r="N171" s="8">
        <v>2</v>
      </c>
      <c r="O171" s="8">
        <v>2</v>
      </c>
      <c r="P171" s="9">
        <f t="shared" si="64"/>
        <v>19</v>
      </c>
      <c r="Q171" s="10" t="str">
        <f t="shared" si="65"/>
        <v>AI-NATIVE</v>
      </c>
      <c r="R171">
        <v>2</v>
      </c>
      <c r="S171">
        <v>2</v>
      </c>
      <c r="T171">
        <v>2</v>
      </c>
      <c r="U171">
        <v>2</v>
      </c>
      <c r="V171">
        <v>1</v>
      </c>
      <c r="W171">
        <v>1</v>
      </c>
      <c r="X171" s="9">
        <f t="shared" ref="X171" si="66">R171*2+S171*2+T171+U171*2+V171+W171*2</f>
        <v>17</v>
      </c>
      <c r="Y171" s="10" t="str">
        <f t="shared" ref="Y171" si="67">IF(X171="","",IF(X171&lt;=2,"DETERMINIST",IF(X171&lt;=6,"AI-ADJACENT",IF(X171&lt;=11,"AI-ENABLED",IF(X171&lt;=17,"AI-CORE","AI-NATIVE")))))</f>
        <v>AI-CORE</v>
      </c>
      <c r="Z171" s="1">
        <v>2</v>
      </c>
      <c r="AA171" s="1">
        <v>2</v>
      </c>
      <c r="AB171" s="1">
        <v>1</v>
      </c>
      <c r="AC171" s="1">
        <v>1</v>
      </c>
      <c r="AD171" s="1">
        <v>2</v>
      </c>
      <c r="AE171" s="1">
        <v>2</v>
      </c>
      <c r="AF171" s="9">
        <f t="shared" ref="AF171" si="68">Z171*2+AA171*2+AB171+AC171*2+AD171+AE171*2</f>
        <v>17</v>
      </c>
      <c r="AG171" s="10" t="str">
        <f t="shared" ref="AG171" si="69">IF(AF171="","",IF(AF171&lt;=2,"DETERMINIST",IF(AF171&lt;=6,"AI-ADJACENT",IF(AF171&lt;=11,"AI-ENABLED",IF(AF171&lt;=17,"AI-CORE","AI-NATIVE")))))</f>
        <v>AI-CORE</v>
      </c>
      <c r="AH171" s="1">
        <f t="shared" si="60"/>
        <v>2</v>
      </c>
      <c r="AI171" s="1">
        <f t="shared" si="60"/>
        <v>2</v>
      </c>
      <c r="AJ171" s="1">
        <f t="shared" si="60"/>
        <v>1</v>
      </c>
      <c r="AK171" s="1">
        <f t="shared" si="58"/>
        <v>1.75</v>
      </c>
      <c r="AL171" s="1">
        <f t="shared" si="53"/>
        <v>1.75</v>
      </c>
      <c r="AM171" s="1">
        <f t="shared" si="53"/>
        <v>1.75</v>
      </c>
      <c r="AN171" s="1">
        <f t="shared" si="61"/>
        <v>17.75</v>
      </c>
      <c r="AO171" s="23" t="str">
        <f t="shared" si="59"/>
        <v>AI-NATIVE</v>
      </c>
    </row>
    <row r="172" spans="1:41" x14ac:dyDescent="0.3">
      <c r="A172" s="14" t="s">
        <v>149</v>
      </c>
      <c r="B172" s="8">
        <v>0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9">
        <f t="shared" si="62"/>
        <v>0</v>
      </c>
      <c r="I172" s="10" t="str">
        <f t="shared" si="63"/>
        <v>DETERMINIST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9">
        <f t="shared" si="64"/>
        <v>0</v>
      </c>
      <c r="Q172" s="10" t="str">
        <f t="shared" si="65"/>
        <v>DETERMINIST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234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 t="s">
        <v>234</v>
      </c>
      <c r="AH172" s="1">
        <f t="shared" si="60"/>
        <v>0</v>
      </c>
      <c r="AI172" s="1">
        <f t="shared" si="60"/>
        <v>0</v>
      </c>
      <c r="AJ172" s="1">
        <f t="shared" si="60"/>
        <v>0</v>
      </c>
      <c r="AK172" s="1">
        <f t="shared" si="58"/>
        <v>0</v>
      </c>
      <c r="AL172" s="1">
        <f t="shared" si="53"/>
        <v>0</v>
      </c>
      <c r="AM172" s="1">
        <f t="shared" si="53"/>
        <v>0</v>
      </c>
      <c r="AN172" s="1">
        <f t="shared" si="61"/>
        <v>0</v>
      </c>
      <c r="AO172" s="23" t="str">
        <f t="shared" si="59"/>
        <v>DETERMINIST</v>
      </c>
    </row>
    <row r="173" spans="1:41" x14ac:dyDescent="0.3">
      <c r="A173" s="12" t="s">
        <v>134</v>
      </c>
      <c r="B173" s="8">
        <v>2</v>
      </c>
      <c r="C173" s="8">
        <v>2</v>
      </c>
      <c r="D173" s="8">
        <v>0</v>
      </c>
      <c r="E173" s="8">
        <v>2</v>
      </c>
      <c r="F173" s="8">
        <v>1</v>
      </c>
      <c r="G173" s="8">
        <v>1</v>
      </c>
      <c r="H173" s="9">
        <f t="shared" si="62"/>
        <v>15</v>
      </c>
      <c r="I173" s="10" t="str">
        <f t="shared" si="63"/>
        <v>AI-CORE</v>
      </c>
      <c r="J173" s="8">
        <v>1</v>
      </c>
      <c r="K173" s="8">
        <v>1</v>
      </c>
      <c r="L173" s="8">
        <v>0</v>
      </c>
      <c r="M173" s="8">
        <v>1</v>
      </c>
      <c r="N173" s="8">
        <v>0</v>
      </c>
      <c r="O173" s="8">
        <v>0</v>
      </c>
      <c r="P173" s="9">
        <f t="shared" si="64"/>
        <v>6</v>
      </c>
      <c r="Q173" s="10" t="str">
        <f t="shared" si="65"/>
        <v>AI-ADJACENT</v>
      </c>
      <c r="R173">
        <v>2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8</v>
      </c>
      <c r="Y173" t="s">
        <v>232</v>
      </c>
      <c r="Z173" s="1">
        <v>1</v>
      </c>
      <c r="AA173" s="1">
        <v>1</v>
      </c>
      <c r="AB173" s="1">
        <v>0</v>
      </c>
      <c r="AC173" s="1">
        <v>1</v>
      </c>
      <c r="AD173" s="1">
        <v>0</v>
      </c>
      <c r="AE173" s="1">
        <v>0</v>
      </c>
      <c r="AF173" s="1">
        <v>6</v>
      </c>
      <c r="AG173" s="1" t="s">
        <v>233</v>
      </c>
      <c r="AH173" s="1">
        <f t="shared" si="60"/>
        <v>1.5</v>
      </c>
      <c r="AI173" s="1">
        <f t="shared" si="60"/>
        <v>1.25</v>
      </c>
      <c r="AJ173" s="1">
        <f t="shared" si="60"/>
        <v>0</v>
      </c>
      <c r="AK173" s="1">
        <f t="shared" si="58"/>
        <v>1.25</v>
      </c>
      <c r="AL173" s="1">
        <f t="shared" si="53"/>
        <v>0.25</v>
      </c>
      <c r="AM173" s="1">
        <f t="shared" si="53"/>
        <v>0.25</v>
      </c>
      <c r="AN173" s="1">
        <f t="shared" si="61"/>
        <v>8.75</v>
      </c>
      <c r="AO173" s="23" t="str">
        <f t="shared" si="59"/>
        <v>AI-ENABLED</v>
      </c>
    </row>
    <row r="174" spans="1:41" x14ac:dyDescent="0.3">
      <c r="A174" s="13" t="s">
        <v>57</v>
      </c>
      <c r="B174" s="8">
        <v>0</v>
      </c>
      <c r="C174" s="8">
        <v>2</v>
      </c>
      <c r="D174" s="8">
        <v>0</v>
      </c>
      <c r="E174" s="8">
        <v>2</v>
      </c>
      <c r="F174" s="8">
        <v>2</v>
      </c>
      <c r="G174" s="8">
        <v>2</v>
      </c>
      <c r="H174" s="9">
        <f t="shared" si="62"/>
        <v>14</v>
      </c>
      <c r="I174" s="10" t="str">
        <f t="shared" si="63"/>
        <v>AI-CORE</v>
      </c>
      <c r="J174" s="8">
        <v>2</v>
      </c>
      <c r="K174" s="8">
        <v>2</v>
      </c>
      <c r="L174" s="8">
        <v>0</v>
      </c>
      <c r="M174" s="8">
        <v>2</v>
      </c>
      <c r="N174" s="8">
        <v>2</v>
      </c>
      <c r="O174" s="8">
        <v>2</v>
      </c>
      <c r="P174" s="9">
        <f t="shared" si="64"/>
        <v>18</v>
      </c>
      <c r="Q174" s="10" t="str">
        <f t="shared" si="65"/>
        <v>AI-NATIVE</v>
      </c>
      <c r="R174">
        <v>0</v>
      </c>
      <c r="S174">
        <v>2</v>
      </c>
      <c r="T174">
        <v>1</v>
      </c>
      <c r="U174">
        <v>0</v>
      </c>
      <c r="V174">
        <v>1</v>
      </c>
      <c r="W174">
        <v>2</v>
      </c>
      <c r="X174">
        <v>10</v>
      </c>
      <c r="Y174" t="s">
        <v>232</v>
      </c>
      <c r="Z174" s="1">
        <v>2</v>
      </c>
      <c r="AA174" s="1">
        <v>2</v>
      </c>
      <c r="AB174" s="1">
        <v>0</v>
      </c>
      <c r="AC174" s="1">
        <v>2</v>
      </c>
      <c r="AD174" s="1">
        <v>2</v>
      </c>
      <c r="AE174" s="1">
        <v>2</v>
      </c>
      <c r="AF174" s="1">
        <v>18</v>
      </c>
      <c r="AG174" s="1" t="s">
        <v>236</v>
      </c>
      <c r="AH174" s="1">
        <f t="shared" si="60"/>
        <v>1</v>
      </c>
      <c r="AI174" s="1">
        <f t="shared" si="60"/>
        <v>2</v>
      </c>
      <c r="AJ174" s="1">
        <f t="shared" si="60"/>
        <v>0.25</v>
      </c>
      <c r="AK174" s="1">
        <f t="shared" si="58"/>
        <v>1.5</v>
      </c>
      <c r="AL174" s="1">
        <f t="shared" si="53"/>
        <v>1.75</v>
      </c>
      <c r="AM174" s="1">
        <f t="shared" si="53"/>
        <v>2</v>
      </c>
      <c r="AN174" s="1">
        <f t="shared" si="61"/>
        <v>15</v>
      </c>
      <c r="AO174" s="23" t="str">
        <f t="shared" si="59"/>
        <v>AI-CORE</v>
      </c>
    </row>
    <row r="175" spans="1:41" x14ac:dyDescent="0.3">
      <c r="A175" s="13" t="s">
        <v>52</v>
      </c>
      <c r="B175" s="8">
        <v>0</v>
      </c>
      <c r="C175" s="8">
        <v>2</v>
      </c>
      <c r="D175" s="8">
        <v>0</v>
      </c>
      <c r="E175" s="8">
        <v>2</v>
      </c>
      <c r="F175" s="8">
        <v>2</v>
      </c>
      <c r="G175" s="8">
        <v>1</v>
      </c>
      <c r="H175" s="9">
        <f t="shared" si="62"/>
        <v>12</v>
      </c>
      <c r="I175" s="10" t="str">
        <f t="shared" si="63"/>
        <v>AI-CORE</v>
      </c>
      <c r="J175" s="8">
        <v>2</v>
      </c>
      <c r="K175" s="8">
        <v>2</v>
      </c>
      <c r="L175" s="8">
        <v>0</v>
      </c>
      <c r="M175" s="8">
        <v>2</v>
      </c>
      <c r="N175" s="8">
        <v>2</v>
      </c>
      <c r="O175" s="8">
        <v>1</v>
      </c>
      <c r="P175" s="9">
        <f t="shared" si="64"/>
        <v>16</v>
      </c>
      <c r="Q175" s="10" t="str">
        <f t="shared" si="65"/>
        <v>AI-CORE</v>
      </c>
      <c r="R175">
        <v>2</v>
      </c>
      <c r="S175">
        <v>2</v>
      </c>
      <c r="T175">
        <v>1</v>
      </c>
      <c r="U175">
        <v>2</v>
      </c>
      <c r="V175">
        <v>1</v>
      </c>
      <c r="W175">
        <v>0</v>
      </c>
      <c r="X175">
        <v>14</v>
      </c>
      <c r="Y175" t="s">
        <v>235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 t="s">
        <v>234</v>
      </c>
      <c r="AH175" s="1">
        <f t="shared" si="60"/>
        <v>1</v>
      </c>
      <c r="AI175" s="1">
        <f t="shared" si="60"/>
        <v>1.5</v>
      </c>
      <c r="AJ175" s="1">
        <f t="shared" si="60"/>
        <v>0.25</v>
      </c>
      <c r="AK175" s="1">
        <f t="shared" si="58"/>
        <v>1.5</v>
      </c>
      <c r="AL175" s="1">
        <f t="shared" si="53"/>
        <v>1.25</v>
      </c>
      <c r="AM175" s="1">
        <f t="shared" si="53"/>
        <v>0.5</v>
      </c>
      <c r="AN175" s="1">
        <f t="shared" si="61"/>
        <v>10.5</v>
      </c>
      <c r="AO175" s="23" t="str">
        <f t="shared" si="59"/>
        <v>AI-ENABLED</v>
      </c>
    </row>
    <row r="176" spans="1:41" x14ac:dyDescent="0.3">
      <c r="A176" s="13" t="s">
        <v>147</v>
      </c>
      <c r="B176" s="8">
        <v>0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9">
        <f t="shared" si="62"/>
        <v>0</v>
      </c>
      <c r="I176" s="10" t="str">
        <f t="shared" si="63"/>
        <v>DETERMINIST</v>
      </c>
      <c r="J176" s="8">
        <v>1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9">
        <f t="shared" si="64"/>
        <v>2</v>
      </c>
      <c r="Q176" s="10" t="str">
        <f t="shared" si="65"/>
        <v>DETERMINIST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2</v>
      </c>
      <c r="Y176" t="s">
        <v>234</v>
      </c>
      <c r="Z176" s="1">
        <v>0</v>
      </c>
      <c r="AA176" s="1">
        <v>1</v>
      </c>
      <c r="AB176" s="1">
        <v>0</v>
      </c>
      <c r="AC176" s="1">
        <v>0</v>
      </c>
      <c r="AD176" s="1">
        <v>0</v>
      </c>
      <c r="AE176" s="1">
        <v>0</v>
      </c>
      <c r="AF176" s="1">
        <v>2</v>
      </c>
      <c r="AG176" s="1" t="s">
        <v>234</v>
      </c>
      <c r="AH176" s="1">
        <f t="shared" si="60"/>
        <v>0.25</v>
      </c>
      <c r="AI176" s="1">
        <f t="shared" si="60"/>
        <v>0.5</v>
      </c>
      <c r="AJ176" s="1">
        <f t="shared" si="60"/>
        <v>0</v>
      </c>
      <c r="AK176" s="1">
        <f t="shared" si="58"/>
        <v>0</v>
      </c>
      <c r="AL176" s="1">
        <f t="shared" si="53"/>
        <v>0</v>
      </c>
      <c r="AM176" s="1">
        <f t="shared" si="53"/>
        <v>0</v>
      </c>
      <c r="AN176" s="1">
        <f t="shared" si="61"/>
        <v>1.5</v>
      </c>
      <c r="AO176" s="23" t="str">
        <f t="shared" si="59"/>
        <v>DETERMINIST</v>
      </c>
    </row>
    <row r="177" spans="1:41" x14ac:dyDescent="0.3">
      <c r="A177" s="7" t="s">
        <v>116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9">
        <f t="shared" si="62"/>
        <v>0</v>
      </c>
      <c r="I177" s="10" t="str">
        <f t="shared" si="63"/>
        <v>DETERMINIST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9">
        <f t="shared" si="64"/>
        <v>0</v>
      </c>
      <c r="Q177" s="10" t="str">
        <f t="shared" si="65"/>
        <v>DETERMINIST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234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 t="s">
        <v>234</v>
      </c>
      <c r="AH177" s="1">
        <f t="shared" si="60"/>
        <v>0</v>
      </c>
      <c r="AI177" s="1">
        <f t="shared" si="60"/>
        <v>0</v>
      </c>
      <c r="AJ177" s="1">
        <f t="shared" si="60"/>
        <v>0</v>
      </c>
      <c r="AK177" s="1">
        <f t="shared" si="58"/>
        <v>0</v>
      </c>
      <c r="AL177" s="1">
        <f t="shared" si="53"/>
        <v>0</v>
      </c>
      <c r="AM177" s="1">
        <f t="shared" si="53"/>
        <v>0</v>
      </c>
      <c r="AN177" s="1">
        <f t="shared" si="61"/>
        <v>0</v>
      </c>
      <c r="AO177" s="23" t="str">
        <f t="shared" si="59"/>
        <v>DETERMINIST</v>
      </c>
    </row>
    <row r="178" spans="1:41" x14ac:dyDescent="0.3">
      <c r="A178" s="17" t="s">
        <v>85</v>
      </c>
      <c r="B178" s="8">
        <v>2</v>
      </c>
      <c r="C178" s="8">
        <v>2</v>
      </c>
      <c r="D178" s="8">
        <v>1</v>
      </c>
      <c r="E178" s="8">
        <v>2</v>
      </c>
      <c r="F178" s="8">
        <v>2</v>
      </c>
      <c r="G178" s="8">
        <v>1</v>
      </c>
      <c r="H178" s="9">
        <f t="shared" si="62"/>
        <v>17</v>
      </c>
      <c r="I178" s="10" t="str">
        <f t="shared" si="63"/>
        <v>AI-CORE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9">
        <f t="shared" si="64"/>
        <v>0</v>
      </c>
      <c r="Q178" s="10" t="str">
        <f t="shared" si="65"/>
        <v>DETERMINIST</v>
      </c>
      <c r="R178">
        <v>2</v>
      </c>
      <c r="S178">
        <v>0</v>
      </c>
      <c r="T178">
        <v>2</v>
      </c>
      <c r="U178">
        <v>2</v>
      </c>
      <c r="V178">
        <v>1</v>
      </c>
      <c r="W178">
        <v>0</v>
      </c>
      <c r="X178">
        <v>11</v>
      </c>
      <c r="Y178" t="s">
        <v>232</v>
      </c>
      <c r="Z178" s="1">
        <v>1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2</v>
      </c>
      <c r="AG178" s="1" t="s">
        <v>234</v>
      </c>
      <c r="AH178" s="1">
        <f t="shared" si="60"/>
        <v>1.25</v>
      </c>
      <c r="AI178" s="1">
        <f t="shared" si="60"/>
        <v>0.5</v>
      </c>
      <c r="AJ178" s="1">
        <f t="shared" si="60"/>
        <v>0.75</v>
      </c>
      <c r="AK178" s="1">
        <f t="shared" si="58"/>
        <v>1</v>
      </c>
      <c r="AL178" s="1">
        <f t="shared" si="53"/>
        <v>0.75</v>
      </c>
      <c r="AM178" s="1">
        <f t="shared" si="53"/>
        <v>0.25</v>
      </c>
      <c r="AN178" s="1">
        <f t="shared" si="61"/>
        <v>7.5</v>
      </c>
      <c r="AO178" s="23" t="str">
        <f t="shared" si="59"/>
        <v>AI-ENABLED</v>
      </c>
    </row>
    <row r="179" spans="1:41" x14ac:dyDescent="0.3">
      <c r="A179" s="20" t="s">
        <v>196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1</v>
      </c>
      <c r="H179" s="9">
        <f t="shared" si="62"/>
        <v>2</v>
      </c>
      <c r="I179" s="10" t="str">
        <f t="shared" si="63"/>
        <v>DETERMINIST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9">
        <f t="shared" si="64"/>
        <v>0</v>
      </c>
      <c r="Q179" s="10" t="str">
        <f t="shared" si="65"/>
        <v>DETERMINIST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234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 t="s">
        <v>234</v>
      </c>
      <c r="AH179" s="1">
        <f t="shared" si="60"/>
        <v>0</v>
      </c>
      <c r="AI179" s="1">
        <f t="shared" si="60"/>
        <v>0</v>
      </c>
      <c r="AJ179" s="1">
        <f t="shared" si="60"/>
        <v>0</v>
      </c>
      <c r="AK179" s="1">
        <f t="shared" si="58"/>
        <v>0</v>
      </c>
      <c r="AL179" s="1">
        <f t="shared" si="53"/>
        <v>0</v>
      </c>
      <c r="AM179" s="1">
        <f t="shared" si="53"/>
        <v>0.25</v>
      </c>
      <c r="AN179" s="1">
        <f t="shared" si="61"/>
        <v>0.5</v>
      </c>
      <c r="AO179" s="23" t="str">
        <f t="shared" si="59"/>
        <v>DETERMINIST</v>
      </c>
    </row>
    <row r="180" spans="1:41" x14ac:dyDescent="0.3">
      <c r="A180" s="16" t="s">
        <v>81</v>
      </c>
      <c r="B180" s="8">
        <v>1</v>
      </c>
      <c r="C180" s="8">
        <v>1</v>
      </c>
      <c r="D180" s="8">
        <v>0</v>
      </c>
      <c r="E180" s="8">
        <v>0</v>
      </c>
      <c r="F180" s="8">
        <v>0</v>
      </c>
      <c r="G180" s="8">
        <v>0</v>
      </c>
      <c r="H180" s="9">
        <f t="shared" si="62"/>
        <v>4</v>
      </c>
      <c r="I180" s="10" t="str">
        <f t="shared" si="63"/>
        <v>AI-ADJACENT</v>
      </c>
      <c r="J180" s="8">
        <v>1</v>
      </c>
      <c r="K180" s="8">
        <v>1</v>
      </c>
      <c r="L180" s="8">
        <v>0</v>
      </c>
      <c r="M180" s="8">
        <v>0</v>
      </c>
      <c r="N180" s="8">
        <v>1</v>
      </c>
      <c r="O180" s="8">
        <v>1</v>
      </c>
      <c r="P180" s="9">
        <f t="shared" si="64"/>
        <v>7</v>
      </c>
      <c r="Q180" s="10" t="str">
        <f t="shared" si="65"/>
        <v>AI-ENABLED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2</v>
      </c>
      <c r="Y180" t="s">
        <v>234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 t="s">
        <v>234</v>
      </c>
      <c r="AH180" s="1">
        <f t="shared" si="60"/>
        <v>0.5</v>
      </c>
      <c r="AI180" s="1">
        <f t="shared" si="60"/>
        <v>0.75</v>
      </c>
      <c r="AJ180" s="1">
        <f t="shared" si="60"/>
        <v>0</v>
      </c>
      <c r="AK180" s="1">
        <f t="shared" si="58"/>
        <v>0</v>
      </c>
      <c r="AL180" s="1">
        <f t="shared" si="53"/>
        <v>0.25</v>
      </c>
      <c r="AM180" s="1">
        <f t="shared" si="53"/>
        <v>0.25</v>
      </c>
      <c r="AN180" s="1">
        <f t="shared" si="61"/>
        <v>3.25</v>
      </c>
      <c r="AO180" s="23" t="str">
        <f t="shared" si="59"/>
        <v>AI-ADJACENT</v>
      </c>
    </row>
    <row r="181" spans="1:41" x14ac:dyDescent="0.3">
      <c r="A181" s="18" t="s">
        <v>96</v>
      </c>
      <c r="B181" s="8">
        <v>2</v>
      </c>
      <c r="C181" s="8">
        <v>2</v>
      </c>
      <c r="D181" s="8">
        <v>1</v>
      </c>
      <c r="E181" s="8">
        <v>2</v>
      </c>
      <c r="F181" s="8">
        <v>1</v>
      </c>
      <c r="G181" s="8">
        <v>1</v>
      </c>
      <c r="H181" s="9">
        <f t="shared" si="62"/>
        <v>16</v>
      </c>
      <c r="I181" s="10" t="str">
        <f t="shared" si="63"/>
        <v>AI-CORE</v>
      </c>
      <c r="J181" s="8">
        <v>2</v>
      </c>
      <c r="K181" s="8">
        <v>2</v>
      </c>
      <c r="L181" s="8">
        <v>0</v>
      </c>
      <c r="M181" s="8">
        <v>2</v>
      </c>
      <c r="N181" s="8">
        <v>0</v>
      </c>
      <c r="O181" s="8">
        <v>0</v>
      </c>
      <c r="P181" s="9">
        <f t="shared" si="64"/>
        <v>12</v>
      </c>
      <c r="Q181" s="10" t="str">
        <f t="shared" si="65"/>
        <v>AI-CORE</v>
      </c>
      <c r="R181">
        <v>2</v>
      </c>
      <c r="S181">
        <v>2</v>
      </c>
      <c r="T181">
        <v>0</v>
      </c>
      <c r="U181">
        <v>2</v>
      </c>
      <c r="V181">
        <v>0</v>
      </c>
      <c r="W181">
        <v>0</v>
      </c>
      <c r="X181">
        <v>12</v>
      </c>
      <c r="Y181" t="s">
        <v>235</v>
      </c>
      <c r="Z181" s="1">
        <v>2</v>
      </c>
      <c r="AA181" s="1">
        <v>2</v>
      </c>
      <c r="AB181" s="1">
        <v>0</v>
      </c>
      <c r="AC181" s="1">
        <v>2</v>
      </c>
      <c r="AD181" s="1">
        <v>0</v>
      </c>
      <c r="AE181" s="1">
        <v>0</v>
      </c>
      <c r="AF181" s="1">
        <v>12</v>
      </c>
      <c r="AG181" s="1" t="s">
        <v>235</v>
      </c>
      <c r="AH181" s="1">
        <f t="shared" si="60"/>
        <v>2</v>
      </c>
      <c r="AI181" s="1">
        <f t="shared" si="60"/>
        <v>2</v>
      </c>
      <c r="AJ181" s="1">
        <f t="shared" si="60"/>
        <v>0.25</v>
      </c>
      <c r="AK181" s="1">
        <f t="shared" si="58"/>
        <v>2</v>
      </c>
      <c r="AL181" s="1">
        <f t="shared" si="53"/>
        <v>0.25</v>
      </c>
      <c r="AM181" s="1">
        <f t="shared" si="53"/>
        <v>0.25</v>
      </c>
      <c r="AN181" s="1">
        <f t="shared" si="61"/>
        <v>13</v>
      </c>
      <c r="AO181" s="23" t="str">
        <f t="shared" si="59"/>
        <v>AI-CORE</v>
      </c>
    </row>
    <row r="182" spans="1:41" ht="27.6" x14ac:dyDescent="0.3">
      <c r="A182" s="16" t="s">
        <v>76</v>
      </c>
      <c r="B182" s="8">
        <v>2</v>
      </c>
      <c r="C182" s="8">
        <v>2</v>
      </c>
      <c r="D182" s="8">
        <v>0</v>
      </c>
      <c r="E182" s="8">
        <v>2</v>
      </c>
      <c r="F182" s="8">
        <v>2</v>
      </c>
      <c r="G182" s="8">
        <v>2</v>
      </c>
      <c r="H182" s="9">
        <f t="shared" si="62"/>
        <v>18</v>
      </c>
      <c r="I182" s="10" t="str">
        <f t="shared" si="63"/>
        <v>AI-NATIVE</v>
      </c>
      <c r="J182" s="8">
        <v>2</v>
      </c>
      <c r="K182" s="8">
        <v>2</v>
      </c>
      <c r="L182" s="8">
        <v>0</v>
      </c>
      <c r="M182" s="8">
        <v>2</v>
      </c>
      <c r="N182" s="8">
        <v>2</v>
      </c>
      <c r="O182" s="8">
        <v>1</v>
      </c>
      <c r="P182" s="9">
        <f t="shared" si="64"/>
        <v>16</v>
      </c>
      <c r="Q182" s="10" t="str">
        <f t="shared" si="65"/>
        <v>AI-CORE</v>
      </c>
      <c r="R182">
        <v>2</v>
      </c>
      <c r="S182">
        <v>2</v>
      </c>
      <c r="T182">
        <v>0</v>
      </c>
      <c r="U182">
        <v>2</v>
      </c>
      <c r="V182">
        <v>2</v>
      </c>
      <c r="W182">
        <v>0</v>
      </c>
      <c r="X182">
        <v>14</v>
      </c>
      <c r="Y182" t="s">
        <v>235</v>
      </c>
      <c r="Z182" s="1">
        <v>2</v>
      </c>
      <c r="AA182" s="1">
        <v>2</v>
      </c>
      <c r="AB182" s="1">
        <v>0</v>
      </c>
      <c r="AC182" s="1">
        <v>2</v>
      </c>
      <c r="AD182" s="1">
        <v>2</v>
      </c>
      <c r="AE182" s="1">
        <v>2</v>
      </c>
      <c r="AF182" s="1">
        <v>18</v>
      </c>
      <c r="AG182" s="1" t="s">
        <v>236</v>
      </c>
      <c r="AH182" s="1">
        <f t="shared" si="60"/>
        <v>2</v>
      </c>
      <c r="AI182" s="1">
        <f t="shared" si="60"/>
        <v>2</v>
      </c>
      <c r="AJ182" s="1">
        <f t="shared" si="60"/>
        <v>0</v>
      </c>
      <c r="AK182" s="1">
        <f t="shared" si="58"/>
        <v>2</v>
      </c>
      <c r="AL182" s="1">
        <f t="shared" si="53"/>
        <v>2</v>
      </c>
      <c r="AM182" s="1">
        <f t="shared" si="53"/>
        <v>1.25</v>
      </c>
      <c r="AN182" s="1">
        <f t="shared" si="61"/>
        <v>16.5</v>
      </c>
      <c r="AO182" s="23" t="str">
        <f t="shared" si="59"/>
        <v>AI-CORE</v>
      </c>
    </row>
    <row r="183" spans="1:41" x14ac:dyDescent="0.3">
      <c r="A183" s="13" t="s">
        <v>143</v>
      </c>
      <c r="B183" s="8">
        <v>0</v>
      </c>
      <c r="C183" s="8">
        <v>1</v>
      </c>
      <c r="D183" s="8">
        <v>0</v>
      </c>
      <c r="E183" s="8">
        <v>1</v>
      </c>
      <c r="F183" s="8">
        <v>0</v>
      </c>
      <c r="G183" s="8">
        <v>0</v>
      </c>
      <c r="H183" s="9">
        <f t="shared" si="62"/>
        <v>4</v>
      </c>
      <c r="I183" s="10" t="str">
        <f t="shared" si="63"/>
        <v>AI-ADJACENT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9">
        <f t="shared" si="64"/>
        <v>0</v>
      </c>
      <c r="Q183" s="10" t="str">
        <f t="shared" si="65"/>
        <v>DETERMINIST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4</v>
      </c>
      <c r="Y183" t="s">
        <v>233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2</v>
      </c>
      <c r="AG183" s="1" t="s">
        <v>234</v>
      </c>
      <c r="AH183" s="1">
        <f t="shared" si="60"/>
        <v>0</v>
      </c>
      <c r="AI183" s="1">
        <f t="shared" si="60"/>
        <v>0.75</v>
      </c>
      <c r="AJ183" s="1">
        <f t="shared" si="60"/>
        <v>0</v>
      </c>
      <c r="AK183" s="1">
        <f t="shared" si="58"/>
        <v>0.5</v>
      </c>
      <c r="AL183" s="1">
        <f t="shared" si="53"/>
        <v>0</v>
      </c>
      <c r="AM183" s="1">
        <f t="shared" si="53"/>
        <v>0</v>
      </c>
      <c r="AN183" s="1">
        <f t="shared" si="61"/>
        <v>2.5</v>
      </c>
      <c r="AO183" s="23" t="str">
        <f t="shared" si="59"/>
        <v>AI-ADJACENT</v>
      </c>
    </row>
    <row r="184" spans="1:41" x14ac:dyDescent="0.3">
      <c r="A184" s="20" t="s">
        <v>108</v>
      </c>
      <c r="B184" s="8">
        <v>2</v>
      </c>
      <c r="C184" s="8">
        <v>1</v>
      </c>
      <c r="D184" s="8">
        <v>0</v>
      </c>
      <c r="E184" s="8">
        <v>2</v>
      </c>
      <c r="F184" s="8">
        <v>1</v>
      </c>
      <c r="G184" s="8">
        <v>1</v>
      </c>
      <c r="H184" s="9">
        <f t="shared" si="62"/>
        <v>13</v>
      </c>
      <c r="I184" s="10" t="str">
        <f t="shared" si="63"/>
        <v>AI-CORE</v>
      </c>
      <c r="J184" s="8">
        <v>2</v>
      </c>
      <c r="K184" s="8">
        <v>2</v>
      </c>
      <c r="L184" s="8">
        <v>0</v>
      </c>
      <c r="M184" s="8">
        <v>2</v>
      </c>
      <c r="N184" s="8">
        <v>2</v>
      </c>
      <c r="O184" s="8">
        <v>2</v>
      </c>
      <c r="P184" s="9">
        <f t="shared" si="64"/>
        <v>18</v>
      </c>
      <c r="Q184" s="10" t="str">
        <f t="shared" si="65"/>
        <v>AI-NATIVE</v>
      </c>
      <c r="R184">
        <v>2</v>
      </c>
      <c r="S184">
        <v>2</v>
      </c>
      <c r="T184">
        <v>2</v>
      </c>
      <c r="U184">
        <v>2</v>
      </c>
      <c r="V184">
        <v>1</v>
      </c>
      <c r="W184">
        <v>0</v>
      </c>
      <c r="X184">
        <v>15</v>
      </c>
      <c r="Y184" t="s">
        <v>235</v>
      </c>
      <c r="Z184" s="1">
        <v>2</v>
      </c>
      <c r="AA184" s="1">
        <v>2</v>
      </c>
      <c r="AB184" s="1">
        <v>1</v>
      </c>
      <c r="AC184" s="1">
        <v>2</v>
      </c>
      <c r="AD184" s="1">
        <v>2</v>
      </c>
      <c r="AE184" s="1">
        <v>2</v>
      </c>
      <c r="AF184" s="1">
        <v>19</v>
      </c>
      <c r="AG184" s="1" t="s">
        <v>236</v>
      </c>
      <c r="AH184" s="1">
        <f t="shared" si="60"/>
        <v>2</v>
      </c>
      <c r="AI184" s="1">
        <f t="shared" si="60"/>
        <v>1.75</v>
      </c>
      <c r="AJ184" s="1">
        <f t="shared" si="60"/>
        <v>0.75</v>
      </c>
      <c r="AK184" s="1">
        <f t="shared" si="58"/>
        <v>2</v>
      </c>
      <c r="AL184" s="1">
        <f t="shared" si="53"/>
        <v>1.5</v>
      </c>
      <c r="AM184" s="1">
        <f t="shared" si="53"/>
        <v>1.25</v>
      </c>
      <c r="AN184" s="1">
        <f t="shared" si="61"/>
        <v>16.25</v>
      </c>
      <c r="AO184" s="23" t="str">
        <f t="shared" si="59"/>
        <v>AI-CORE</v>
      </c>
    </row>
    <row r="185" spans="1:41" x14ac:dyDescent="0.3">
      <c r="A185" s="12" t="s">
        <v>231</v>
      </c>
      <c r="B185" s="8">
        <v>2</v>
      </c>
      <c r="C185" s="8">
        <v>2</v>
      </c>
      <c r="D185" s="8">
        <v>0</v>
      </c>
      <c r="E185" s="8">
        <v>2</v>
      </c>
      <c r="F185" s="8">
        <v>2</v>
      </c>
      <c r="G185" s="8">
        <v>1</v>
      </c>
      <c r="H185" s="9">
        <f t="shared" si="62"/>
        <v>16</v>
      </c>
      <c r="I185" s="10" t="str">
        <f t="shared" si="63"/>
        <v>AI-CORE</v>
      </c>
      <c r="J185" s="8">
        <v>2</v>
      </c>
      <c r="K185" s="8">
        <v>2</v>
      </c>
      <c r="L185" s="8">
        <v>0</v>
      </c>
      <c r="M185" s="8">
        <v>2</v>
      </c>
      <c r="N185" s="8">
        <v>2</v>
      </c>
      <c r="O185" s="8">
        <v>2</v>
      </c>
      <c r="P185" s="9">
        <f t="shared" si="64"/>
        <v>18</v>
      </c>
      <c r="Q185" s="10" t="str">
        <f t="shared" si="65"/>
        <v>AI-NATIVE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2</v>
      </c>
      <c r="Y185" t="s">
        <v>234</v>
      </c>
      <c r="Z185" s="1">
        <v>0</v>
      </c>
      <c r="AA185" s="1">
        <v>0</v>
      </c>
      <c r="AB185" s="1">
        <v>1</v>
      </c>
      <c r="AC185" s="1">
        <v>0</v>
      </c>
      <c r="AD185" s="1">
        <v>0</v>
      </c>
      <c r="AE185" s="1">
        <v>0</v>
      </c>
      <c r="AF185" s="1">
        <v>1</v>
      </c>
      <c r="AG185" s="1" t="s">
        <v>234</v>
      </c>
      <c r="AH185" s="1">
        <f t="shared" si="60"/>
        <v>1</v>
      </c>
      <c r="AI185" s="1">
        <f t="shared" si="60"/>
        <v>1.25</v>
      </c>
      <c r="AJ185" s="1">
        <f t="shared" si="60"/>
        <v>0.25</v>
      </c>
      <c r="AK185" s="1">
        <f t="shared" si="58"/>
        <v>1</v>
      </c>
      <c r="AL185" s="1">
        <f t="shared" si="53"/>
        <v>1</v>
      </c>
      <c r="AM185" s="1">
        <f t="shared" si="53"/>
        <v>0.75</v>
      </c>
      <c r="AN185" s="1">
        <f t="shared" si="61"/>
        <v>9.25</v>
      </c>
      <c r="AO185" s="23" t="str">
        <f t="shared" si="59"/>
        <v>AI-ENABLED</v>
      </c>
    </row>
    <row r="186" spans="1:41" x14ac:dyDescent="0.3">
      <c r="A186" s="12" t="s">
        <v>44</v>
      </c>
      <c r="B186" s="8">
        <v>2</v>
      </c>
      <c r="C186" s="8">
        <v>2</v>
      </c>
      <c r="D186" s="8">
        <v>0</v>
      </c>
      <c r="E186" s="8">
        <v>2</v>
      </c>
      <c r="F186" s="8">
        <v>2</v>
      </c>
      <c r="G186" s="8">
        <v>1</v>
      </c>
      <c r="H186" s="9">
        <f t="shared" si="62"/>
        <v>16</v>
      </c>
      <c r="I186" s="10" t="str">
        <f t="shared" si="63"/>
        <v>AI-CORE</v>
      </c>
      <c r="J186" s="8">
        <v>2</v>
      </c>
      <c r="K186" s="8">
        <v>2</v>
      </c>
      <c r="L186" s="8">
        <v>0</v>
      </c>
      <c r="M186" s="8">
        <v>2</v>
      </c>
      <c r="N186" s="8">
        <v>2</v>
      </c>
      <c r="O186" s="8">
        <v>1</v>
      </c>
      <c r="P186" s="9">
        <f t="shared" si="64"/>
        <v>16</v>
      </c>
      <c r="Q186" s="10" t="str">
        <f t="shared" si="65"/>
        <v>AI-CORE</v>
      </c>
      <c r="R186">
        <v>0</v>
      </c>
      <c r="S186">
        <v>2</v>
      </c>
      <c r="T186">
        <v>0</v>
      </c>
      <c r="U186">
        <v>0</v>
      </c>
      <c r="V186">
        <v>1</v>
      </c>
      <c r="W186">
        <v>0</v>
      </c>
      <c r="X186">
        <v>5</v>
      </c>
      <c r="Y186" t="s">
        <v>233</v>
      </c>
      <c r="Z186" s="1">
        <v>0</v>
      </c>
      <c r="AA186" s="1">
        <v>0</v>
      </c>
      <c r="AB186" s="1">
        <v>1</v>
      </c>
      <c r="AC186" s="1">
        <v>0</v>
      </c>
      <c r="AD186" s="1">
        <v>0</v>
      </c>
      <c r="AE186" s="1">
        <v>0</v>
      </c>
      <c r="AF186" s="1">
        <v>1</v>
      </c>
      <c r="AG186" s="1" t="s">
        <v>234</v>
      </c>
      <c r="AH186" s="1">
        <f t="shared" si="60"/>
        <v>1</v>
      </c>
      <c r="AI186" s="1">
        <f t="shared" si="60"/>
        <v>1.5</v>
      </c>
      <c r="AJ186" s="1">
        <f t="shared" si="60"/>
        <v>0.25</v>
      </c>
      <c r="AK186" s="1">
        <f t="shared" si="58"/>
        <v>1</v>
      </c>
      <c r="AL186" s="1">
        <f t="shared" si="53"/>
        <v>1.25</v>
      </c>
      <c r="AM186" s="1">
        <f t="shared" si="53"/>
        <v>0.5</v>
      </c>
      <c r="AN186" s="1">
        <f t="shared" si="61"/>
        <v>9.5</v>
      </c>
      <c r="AO186" s="23" t="str">
        <f t="shared" si="59"/>
        <v>AI-ENABLED</v>
      </c>
    </row>
    <row r="187" spans="1:41" x14ac:dyDescent="0.3">
      <c r="A187" s="20" t="s">
        <v>110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9">
        <f t="shared" si="62"/>
        <v>0</v>
      </c>
      <c r="I187" s="10" t="str">
        <f t="shared" si="63"/>
        <v>DETERMINIST</v>
      </c>
      <c r="J187" s="8">
        <v>0</v>
      </c>
      <c r="K187" s="8">
        <v>1</v>
      </c>
      <c r="L187" s="8">
        <v>0</v>
      </c>
      <c r="M187" s="8">
        <v>1</v>
      </c>
      <c r="N187" s="8">
        <v>2</v>
      </c>
      <c r="O187" s="8">
        <v>2</v>
      </c>
      <c r="P187" s="9">
        <f t="shared" si="64"/>
        <v>10</v>
      </c>
      <c r="Q187" s="10" t="str">
        <f t="shared" si="65"/>
        <v>AI-ENABLED</v>
      </c>
      <c r="R187">
        <v>0</v>
      </c>
      <c r="S187">
        <v>2</v>
      </c>
      <c r="T187">
        <v>0</v>
      </c>
      <c r="U187">
        <v>2</v>
      </c>
      <c r="V187">
        <v>2</v>
      </c>
      <c r="W187">
        <v>0</v>
      </c>
      <c r="X187">
        <v>10</v>
      </c>
      <c r="Y187" t="s">
        <v>232</v>
      </c>
      <c r="Z187" s="1">
        <v>2</v>
      </c>
      <c r="AA187" s="1">
        <v>2</v>
      </c>
      <c r="AB187" s="1">
        <v>0</v>
      </c>
      <c r="AC187" s="1">
        <v>2</v>
      </c>
      <c r="AD187" s="1">
        <v>2</v>
      </c>
      <c r="AE187" s="1">
        <v>2</v>
      </c>
      <c r="AF187" s="1">
        <v>18</v>
      </c>
      <c r="AG187" s="1" t="s">
        <v>236</v>
      </c>
      <c r="AH187" s="1">
        <f t="shared" si="60"/>
        <v>0.5</v>
      </c>
      <c r="AI187" s="1">
        <f t="shared" si="60"/>
        <v>1.25</v>
      </c>
      <c r="AJ187" s="1">
        <f t="shared" si="60"/>
        <v>0</v>
      </c>
      <c r="AK187" s="1">
        <f t="shared" si="58"/>
        <v>1.25</v>
      </c>
      <c r="AL187" s="1">
        <f t="shared" si="53"/>
        <v>1.5</v>
      </c>
      <c r="AM187" s="1">
        <f t="shared" si="53"/>
        <v>1</v>
      </c>
      <c r="AN187" s="1">
        <f t="shared" si="61"/>
        <v>9.5</v>
      </c>
      <c r="AO187" s="23" t="str">
        <f t="shared" si="59"/>
        <v>AI-ENABLED</v>
      </c>
    </row>
    <row r="188" spans="1:41" ht="27.6" x14ac:dyDescent="0.3">
      <c r="A188" s="16" t="s">
        <v>168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9">
        <f t="shared" si="62"/>
        <v>0</v>
      </c>
      <c r="I188" s="10" t="str">
        <f t="shared" si="63"/>
        <v>DETERMINIST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9">
        <f t="shared" si="64"/>
        <v>0</v>
      </c>
      <c r="Q188" s="10" t="str">
        <f t="shared" si="65"/>
        <v>DETERMINIST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234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 t="s">
        <v>234</v>
      </c>
      <c r="AH188" s="1">
        <f t="shared" si="60"/>
        <v>0</v>
      </c>
      <c r="AI188" s="1">
        <f t="shared" si="60"/>
        <v>0</v>
      </c>
      <c r="AJ188" s="1">
        <f t="shared" si="60"/>
        <v>0</v>
      </c>
      <c r="AK188" s="1">
        <f t="shared" si="58"/>
        <v>0</v>
      </c>
      <c r="AL188" s="1">
        <f t="shared" si="53"/>
        <v>0</v>
      </c>
      <c r="AM188" s="1">
        <f t="shared" si="53"/>
        <v>0</v>
      </c>
      <c r="AN188" s="1">
        <f t="shared" si="61"/>
        <v>0</v>
      </c>
      <c r="AO188" s="23" t="str">
        <f t="shared" si="59"/>
        <v>DETERMINIST</v>
      </c>
    </row>
    <row r="189" spans="1:41" x14ac:dyDescent="0.3">
      <c r="A189" s="14" t="s">
        <v>66</v>
      </c>
      <c r="B189" s="8">
        <v>2</v>
      </c>
      <c r="C189" s="8">
        <v>2</v>
      </c>
      <c r="D189" s="8">
        <v>0</v>
      </c>
      <c r="E189" s="8">
        <v>2</v>
      </c>
      <c r="F189" s="8">
        <v>1</v>
      </c>
      <c r="G189" s="8">
        <v>0</v>
      </c>
      <c r="H189" s="9">
        <f t="shared" si="62"/>
        <v>13</v>
      </c>
      <c r="I189" s="10" t="str">
        <f t="shared" si="63"/>
        <v>AI-CORE</v>
      </c>
      <c r="J189" s="8">
        <v>2</v>
      </c>
      <c r="K189" s="8">
        <v>2</v>
      </c>
      <c r="L189" s="8">
        <v>0</v>
      </c>
      <c r="M189" s="8">
        <v>2</v>
      </c>
      <c r="N189" s="8">
        <v>0</v>
      </c>
      <c r="O189" s="8">
        <v>1</v>
      </c>
      <c r="P189" s="9">
        <f t="shared" si="64"/>
        <v>14</v>
      </c>
      <c r="Q189" s="10" t="str">
        <f t="shared" si="65"/>
        <v>AI-CORE</v>
      </c>
      <c r="R189">
        <v>2</v>
      </c>
      <c r="S189">
        <v>2</v>
      </c>
      <c r="T189">
        <v>0</v>
      </c>
      <c r="U189">
        <v>2</v>
      </c>
      <c r="V189">
        <v>0</v>
      </c>
      <c r="W189">
        <v>0</v>
      </c>
      <c r="X189">
        <v>12</v>
      </c>
      <c r="Y189" t="s">
        <v>235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 t="s">
        <v>234</v>
      </c>
      <c r="AH189" s="1">
        <f t="shared" si="60"/>
        <v>1.5</v>
      </c>
      <c r="AI189" s="1">
        <f t="shared" si="60"/>
        <v>1.5</v>
      </c>
      <c r="AJ189" s="1">
        <f t="shared" si="60"/>
        <v>0</v>
      </c>
      <c r="AK189" s="1">
        <f t="shared" si="58"/>
        <v>1.5</v>
      </c>
      <c r="AL189" s="1">
        <f t="shared" si="53"/>
        <v>0.25</v>
      </c>
      <c r="AM189" s="1">
        <f t="shared" si="53"/>
        <v>0.25</v>
      </c>
      <c r="AN189" s="1">
        <f t="shared" si="61"/>
        <v>9.75</v>
      </c>
      <c r="AO189" s="23" t="str">
        <f t="shared" si="59"/>
        <v>AI-ENABLED</v>
      </c>
    </row>
    <row r="190" spans="1:41" x14ac:dyDescent="0.3">
      <c r="A190" s="14" t="s">
        <v>151</v>
      </c>
      <c r="B190" s="8">
        <v>0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9">
        <f t="shared" si="62"/>
        <v>0</v>
      </c>
      <c r="I190" s="10" t="str">
        <f t="shared" si="63"/>
        <v>DETERMINIST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9">
        <f t="shared" si="64"/>
        <v>0</v>
      </c>
      <c r="Q190" s="10" t="str">
        <f t="shared" si="65"/>
        <v>DETERMINIST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234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 t="s">
        <v>234</v>
      </c>
      <c r="AH190" s="1">
        <f t="shared" si="60"/>
        <v>0</v>
      </c>
      <c r="AI190" s="1">
        <f t="shared" si="60"/>
        <v>0</v>
      </c>
      <c r="AJ190" s="1">
        <f t="shared" si="60"/>
        <v>0</v>
      </c>
      <c r="AK190" s="1">
        <f t="shared" si="58"/>
        <v>0</v>
      </c>
      <c r="AL190" s="1">
        <f t="shared" si="58"/>
        <v>0</v>
      </c>
      <c r="AM190" s="1">
        <f t="shared" si="58"/>
        <v>0</v>
      </c>
      <c r="AN190" s="1">
        <f t="shared" si="61"/>
        <v>0</v>
      </c>
      <c r="AO190" s="23" t="str">
        <f t="shared" si="59"/>
        <v>DETERMINIST</v>
      </c>
    </row>
    <row r="191" spans="1:41" x14ac:dyDescent="0.3">
      <c r="A191" s="18" t="s">
        <v>180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9">
        <f t="shared" si="62"/>
        <v>0</v>
      </c>
      <c r="I191" s="10" t="str">
        <f t="shared" si="63"/>
        <v>DETERMINIST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9">
        <f t="shared" si="64"/>
        <v>0</v>
      </c>
      <c r="Q191" s="10" t="str">
        <f t="shared" si="65"/>
        <v>DETERMINIST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4</v>
      </c>
      <c r="Y191" t="s">
        <v>233</v>
      </c>
      <c r="Z191" s="1">
        <v>0</v>
      </c>
      <c r="AA191" s="1">
        <v>0</v>
      </c>
      <c r="AB191" s="1">
        <v>1</v>
      </c>
      <c r="AC191" s="1">
        <v>0</v>
      </c>
      <c r="AD191" s="1">
        <v>0</v>
      </c>
      <c r="AE191" s="1">
        <v>0</v>
      </c>
      <c r="AF191" s="1">
        <v>1</v>
      </c>
      <c r="AG191" s="1" t="s">
        <v>234</v>
      </c>
      <c r="AH191" s="1">
        <f t="shared" si="60"/>
        <v>0</v>
      </c>
      <c r="AI191" s="1">
        <f t="shared" si="60"/>
        <v>0.25</v>
      </c>
      <c r="AJ191" s="1">
        <f t="shared" si="60"/>
        <v>0.25</v>
      </c>
      <c r="AK191" s="1">
        <f t="shared" si="58"/>
        <v>0.25</v>
      </c>
      <c r="AL191" s="1">
        <f t="shared" si="58"/>
        <v>0</v>
      </c>
      <c r="AM191" s="1">
        <f t="shared" si="58"/>
        <v>0</v>
      </c>
      <c r="AN191" s="1">
        <f t="shared" si="61"/>
        <v>1.25</v>
      </c>
      <c r="AO191" s="23" t="str">
        <f t="shared" si="59"/>
        <v>DETERMINIST</v>
      </c>
    </row>
    <row r="192" spans="1:41" x14ac:dyDescent="0.3">
      <c r="A192" s="20" t="s">
        <v>106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9">
        <f t="shared" si="62"/>
        <v>0</v>
      </c>
      <c r="I192" s="10" t="str">
        <f t="shared" si="63"/>
        <v>DETERMINIST</v>
      </c>
      <c r="J192" s="8">
        <v>0</v>
      </c>
      <c r="K192" s="8">
        <v>0</v>
      </c>
      <c r="L192" s="8">
        <v>0</v>
      </c>
      <c r="M192" s="8">
        <v>0</v>
      </c>
      <c r="N192" s="8">
        <v>1</v>
      </c>
      <c r="O192" s="8">
        <v>1</v>
      </c>
      <c r="P192" s="9">
        <f t="shared" si="64"/>
        <v>3</v>
      </c>
      <c r="Q192" s="10" t="str">
        <f t="shared" si="65"/>
        <v>AI-ADJACENT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234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 t="s">
        <v>234</v>
      </c>
      <c r="AH192" s="1">
        <f t="shared" si="60"/>
        <v>0</v>
      </c>
      <c r="AI192" s="1">
        <f t="shared" si="60"/>
        <v>0</v>
      </c>
      <c r="AJ192" s="1">
        <f t="shared" si="60"/>
        <v>0</v>
      </c>
      <c r="AK192" s="1">
        <f t="shared" si="58"/>
        <v>0</v>
      </c>
      <c r="AL192" s="1">
        <f t="shared" si="58"/>
        <v>0.25</v>
      </c>
      <c r="AM192" s="1">
        <f t="shared" si="58"/>
        <v>0.25</v>
      </c>
      <c r="AN192" s="1">
        <f t="shared" si="61"/>
        <v>0.75</v>
      </c>
      <c r="AO192" s="23" t="str">
        <f t="shared" si="59"/>
        <v>DETERMINIST</v>
      </c>
    </row>
    <row r="193" spans="1:41" x14ac:dyDescent="0.3">
      <c r="A193" s="14" t="s">
        <v>63</v>
      </c>
      <c r="B193" s="8">
        <v>2</v>
      </c>
      <c r="C193" s="8">
        <v>2</v>
      </c>
      <c r="D193" s="8">
        <v>0</v>
      </c>
      <c r="E193" s="8">
        <v>2</v>
      </c>
      <c r="F193" s="8">
        <v>1</v>
      </c>
      <c r="G193" s="8">
        <v>1</v>
      </c>
      <c r="H193" s="9">
        <f t="shared" si="62"/>
        <v>15</v>
      </c>
      <c r="I193" s="10" t="str">
        <f t="shared" si="63"/>
        <v>AI-CORE</v>
      </c>
      <c r="J193" s="8">
        <v>2</v>
      </c>
      <c r="K193" s="8">
        <v>2</v>
      </c>
      <c r="L193" s="8">
        <v>0</v>
      </c>
      <c r="M193" s="8">
        <v>2</v>
      </c>
      <c r="N193" s="8">
        <v>1</v>
      </c>
      <c r="O193" s="8">
        <v>2</v>
      </c>
      <c r="P193" s="9">
        <f t="shared" si="64"/>
        <v>17</v>
      </c>
      <c r="Q193" s="10" t="str">
        <f t="shared" si="65"/>
        <v>AI-CORE</v>
      </c>
      <c r="R193">
        <v>2</v>
      </c>
      <c r="S193">
        <v>2</v>
      </c>
      <c r="T193">
        <v>0</v>
      </c>
      <c r="U193">
        <v>2</v>
      </c>
      <c r="V193">
        <v>1</v>
      </c>
      <c r="W193">
        <v>0</v>
      </c>
      <c r="X193">
        <v>13</v>
      </c>
      <c r="Y193" t="s">
        <v>235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 t="s">
        <v>234</v>
      </c>
      <c r="AH193" s="1">
        <f t="shared" si="60"/>
        <v>1.5</v>
      </c>
      <c r="AI193" s="1">
        <f t="shared" si="60"/>
        <v>1.5</v>
      </c>
      <c r="AJ193" s="1">
        <f t="shared" si="60"/>
        <v>0</v>
      </c>
      <c r="AK193" s="1">
        <f t="shared" si="58"/>
        <v>1.5</v>
      </c>
      <c r="AL193" s="1">
        <f t="shared" si="58"/>
        <v>0.75</v>
      </c>
      <c r="AM193" s="1">
        <f t="shared" si="58"/>
        <v>0.75</v>
      </c>
      <c r="AN193" s="1">
        <f t="shared" si="61"/>
        <v>11.25</v>
      </c>
      <c r="AO193" s="23" t="str">
        <f t="shared" si="59"/>
        <v>AI-CORE</v>
      </c>
    </row>
    <row r="194" spans="1:41" x14ac:dyDescent="0.3">
      <c r="A194" s="13" t="s">
        <v>144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9">
        <f t="shared" ref="H194:H200" si="70">B194*2+C194*2+D194+E194*2+F194+G194*2</f>
        <v>0</v>
      </c>
      <c r="I194" s="10" t="str">
        <f t="shared" ref="I194:I200" si="71">IF(H194="","",IF(H194&lt;=2,"DETERMINIST",IF(H194&lt;=6,"AI-ADJACENT",IF(H194&lt;=11,"AI-ENABLED",IF(H194&lt;=17,"AI-CORE","AI-NATIVE")))))</f>
        <v>DETERMINIST</v>
      </c>
      <c r="J194" s="8">
        <v>1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9">
        <f t="shared" ref="P194:P200" si="72">J194*2+K194*2+L194+M194*2+N194+O194*2</f>
        <v>2</v>
      </c>
      <c r="Q194" s="10" t="str">
        <f t="shared" ref="Q194:Q200" si="73">IF(P194="","",IF(P194&lt;=2,"DETERMINIST",IF(P194&lt;=6,"AI-ADJACENT",IF(P194&lt;=11,"AI-ENABLED",IF(P194&lt;=17,"AI-CORE","AI-NATIVE")))))</f>
        <v>DETERMINIST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2</v>
      </c>
      <c r="Y194" t="s">
        <v>234</v>
      </c>
      <c r="Z194" s="1">
        <v>0</v>
      </c>
      <c r="AA194" s="1">
        <v>1</v>
      </c>
      <c r="AB194" s="1">
        <v>0</v>
      </c>
      <c r="AC194" s="1">
        <v>0</v>
      </c>
      <c r="AD194" s="1">
        <v>0</v>
      </c>
      <c r="AE194" s="1">
        <v>0</v>
      </c>
      <c r="AF194" s="1">
        <v>2</v>
      </c>
      <c r="AG194" s="1" t="s">
        <v>234</v>
      </c>
      <c r="AH194" s="1">
        <f t="shared" si="60"/>
        <v>0.25</v>
      </c>
      <c r="AI194" s="1">
        <f t="shared" si="60"/>
        <v>0.5</v>
      </c>
      <c r="AJ194" s="1">
        <f t="shared" si="60"/>
        <v>0</v>
      </c>
      <c r="AK194" s="1">
        <f t="shared" si="60"/>
        <v>0</v>
      </c>
      <c r="AL194" s="1">
        <f t="shared" si="60"/>
        <v>0</v>
      </c>
      <c r="AM194" s="1">
        <f t="shared" si="60"/>
        <v>0</v>
      </c>
      <c r="AN194" s="1">
        <f t="shared" si="61"/>
        <v>1.5</v>
      </c>
      <c r="AO194" s="23" t="str">
        <f t="shared" ref="AO194:AO200" si="74">IF(AN194="","",IF(AN194&lt;=2,"DETERMINIST",IF(AN194&lt;=6,"AI-ADJACENT",IF(AN194&lt;=11,"AI-ENABLED",IF(AN194&lt;=17,"AI-CORE","AI-NATIVE")))))</f>
        <v>DETERMINIST</v>
      </c>
    </row>
    <row r="195" spans="1:41" x14ac:dyDescent="0.3">
      <c r="A195" s="17" t="s">
        <v>90</v>
      </c>
      <c r="B195" s="8">
        <v>2</v>
      </c>
      <c r="C195" s="8">
        <v>2</v>
      </c>
      <c r="D195" s="8">
        <v>0</v>
      </c>
      <c r="E195" s="8">
        <v>1</v>
      </c>
      <c r="F195" s="8">
        <v>0</v>
      </c>
      <c r="G195" s="8">
        <v>0</v>
      </c>
      <c r="H195" s="9">
        <f t="shared" si="70"/>
        <v>10</v>
      </c>
      <c r="I195" s="10" t="str">
        <f t="shared" si="71"/>
        <v>AI-ENABLED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9">
        <f t="shared" si="72"/>
        <v>0</v>
      </c>
      <c r="Q195" s="10" t="str">
        <f t="shared" si="73"/>
        <v>DETERMINIST</v>
      </c>
      <c r="R195">
        <v>2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8</v>
      </c>
      <c r="Y195" t="s">
        <v>232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 t="s">
        <v>234</v>
      </c>
      <c r="AH195" s="1">
        <f t="shared" ref="AH195:AM200" si="75">AVERAGE(B195,J195,R195,Z195)</f>
        <v>1</v>
      </c>
      <c r="AI195" s="1">
        <f t="shared" si="75"/>
        <v>1</v>
      </c>
      <c r="AJ195" s="1">
        <f t="shared" si="75"/>
        <v>0</v>
      </c>
      <c r="AK195" s="1">
        <f t="shared" si="75"/>
        <v>0.25</v>
      </c>
      <c r="AL195" s="1">
        <f t="shared" si="75"/>
        <v>0</v>
      </c>
      <c r="AM195" s="1">
        <f t="shared" si="75"/>
        <v>0</v>
      </c>
      <c r="AN195" s="1">
        <f t="shared" ref="AN195:AN200" si="76">AH195*2+AI195*2+AJ195+AK195*2+AL195+AM195*2</f>
        <v>4.5</v>
      </c>
      <c r="AO195" s="23" t="str">
        <f t="shared" si="74"/>
        <v>AI-ADJACENT</v>
      </c>
    </row>
    <row r="196" spans="1:41" x14ac:dyDescent="0.3">
      <c r="A196" s="14" t="s">
        <v>154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9">
        <f t="shared" si="70"/>
        <v>0</v>
      </c>
      <c r="I196" s="10" t="str">
        <f t="shared" si="71"/>
        <v>DETERMINIST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9">
        <f t="shared" si="72"/>
        <v>0</v>
      </c>
      <c r="Q196" s="10" t="str">
        <f t="shared" si="73"/>
        <v>DETERMINIST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234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 t="s">
        <v>234</v>
      </c>
      <c r="AH196" s="1">
        <f t="shared" si="75"/>
        <v>0</v>
      </c>
      <c r="AI196" s="1">
        <f t="shared" si="75"/>
        <v>0</v>
      </c>
      <c r="AJ196" s="1">
        <f t="shared" si="75"/>
        <v>0</v>
      </c>
      <c r="AK196" s="1">
        <f t="shared" si="75"/>
        <v>0</v>
      </c>
      <c r="AL196" s="1">
        <f t="shared" si="75"/>
        <v>0</v>
      </c>
      <c r="AM196" s="1">
        <f t="shared" si="75"/>
        <v>0</v>
      </c>
      <c r="AN196" s="1">
        <f t="shared" si="76"/>
        <v>0</v>
      </c>
      <c r="AO196" s="23" t="str">
        <f t="shared" si="74"/>
        <v>DETERMINIST</v>
      </c>
    </row>
    <row r="197" spans="1:41" x14ac:dyDescent="0.3">
      <c r="A197" s="15" t="s">
        <v>68</v>
      </c>
      <c r="B197" s="8">
        <v>2</v>
      </c>
      <c r="C197" s="8">
        <v>2</v>
      </c>
      <c r="D197" s="8">
        <v>0</v>
      </c>
      <c r="E197" s="8">
        <v>2</v>
      </c>
      <c r="F197" s="8">
        <v>1</v>
      </c>
      <c r="G197" s="8">
        <v>0</v>
      </c>
      <c r="H197" s="9">
        <f t="shared" si="70"/>
        <v>13</v>
      </c>
      <c r="I197" s="10" t="str">
        <f t="shared" si="71"/>
        <v>AI-CORE</v>
      </c>
      <c r="J197" s="8">
        <v>2</v>
      </c>
      <c r="K197" s="8">
        <v>2</v>
      </c>
      <c r="L197" s="8">
        <v>0</v>
      </c>
      <c r="M197" s="8">
        <v>2</v>
      </c>
      <c r="N197" s="8">
        <v>1</v>
      </c>
      <c r="O197" s="8">
        <v>0</v>
      </c>
      <c r="P197" s="9">
        <f t="shared" si="72"/>
        <v>13</v>
      </c>
      <c r="Q197" s="10" t="str">
        <f t="shared" si="73"/>
        <v>AI-CORE</v>
      </c>
      <c r="R197">
        <v>2</v>
      </c>
      <c r="S197">
        <v>2</v>
      </c>
      <c r="T197">
        <v>0</v>
      </c>
      <c r="U197">
        <v>2</v>
      </c>
      <c r="V197">
        <v>0</v>
      </c>
      <c r="W197">
        <v>0</v>
      </c>
      <c r="X197">
        <v>12</v>
      </c>
      <c r="Y197" t="s">
        <v>235</v>
      </c>
      <c r="Z197" s="1">
        <v>0</v>
      </c>
      <c r="AA197" s="1">
        <v>0</v>
      </c>
      <c r="AB197" s="1">
        <v>0</v>
      </c>
      <c r="AC197" s="1">
        <v>2</v>
      </c>
      <c r="AD197" s="1">
        <v>0</v>
      </c>
      <c r="AE197" s="1">
        <v>0</v>
      </c>
      <c r="AF197" s="1">
        <v>4</v>
      </c>
      <c r="AG197" s="1" t="s">
        <v>233</v>
      </c>
      <c r="AH197" s="1">
        <f t="shared" si="75"/>
        <v>1.5</v>
      </c>
      <c r="AI197" s="1">
        <f t="shared" si="75"/>
        <v>1.5</v>
      </c>
      <c r="AJ197" s="1">
        <f t="shared" si="75"/>
        <v>0</v>
      </c>
      <c r="AK197" s="1">
        <f t="shared" si="75"/>
        <v>2</v>
      </c>
      <c r="AL197" s="1">
        <f t="shared" si="75"/>
        <v>0.5</v>
      </c>
      <c r="AM197" s="1">
        <f t="shared" si="75"/>
        <v>0</v>
      </c>
      <c r="AN197" s="1">
        <f t="shared" si="76"/>
        <v>10.5</v>
      </c>
      <c r="AO197" s="23" t="str">
        <f t="shared" si="74"/>
        <v>AI-ENABLED</v>
      </c>
    </row>
    <row r="198" spans="1:41" x14ac:dyDescent="0.3">
      <c r="A198" s="20" t="s">
        <v>200</v>
      </c>
      <c r="B198" s="8">
        <v>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9">
        <f t="shared" si="70"/>
        <v>0</v>
      </c>
      <c r="I198" s="10" t="str">
        <f t="shared" si="71"/>
        <v>DETERMINIST</v>
      </c>
      <c r="J198" s="8">
        <v>1</v>
      </c>
      <c r="K198" s="8">
        <v>1</v>
      </c>
      <c r="L198" s="8">
        <v>0</v>
      </c>
      <c r="M198" s="8">
        <v>0</v>
      </c>
      <c r="N198" s="8">
        <v>0</v>
      </c>
      <c r="O198" s="8">
        <v>0</v>
      </c>
      <c r="P198" s="9">
        <f t="shared" si="72"/>
        <v>4</v>
      </c>
      <c r="Q198" s="10" t="str">
        <f t="shared" si="73"/>
        <v>AI-ADJACENT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2</v>
      </c>
      <c r="Y198" t="s">
        <v>234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 t="s">
        <v>234</v>
      </c>
      <c r="AH198" s="1">
        <f t="shared" si="75"/>
        <v>0.25</v>
      </c>
      <c r="AI198" s="1">
        <f t="shared" si="75"/>
        <v>0.5</v>
      </c>
      <c r="AJ198" s="1">
        <f t="shared" si="75"/>
        <v>0</v>
      </c>
      <c r="AK198" s="1">
        <f t="shared" si="75"/>
        <v>0</v>
      </c>
      <c r="AL198" s="1">
        <f t="shared" si="75"/>
        <v>0</v>
      </c>
      <c r="AM198" s="1">
        <f t="shared" si="75"/>
        <v>0</v>
      </c>
      <c r="AN198" s="1">
        <f t="shared" si="76"/>
        <v>1.5</v>
      </c>
      <c r="AO198" s="23" t="str">
        <f t="shared" si="74"/>
        <v>DETERMINIST</v>
      </c>
    </row>
    <row r="199" spans="1:41" x14ac:dyDescent="0.3">
      <c r="A199" s="14" t="s">
        <v>155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9">
        <f t="shared" si="70"/>
        <v>0</v>
      </c>
      <c r="I199" s="10" t="str">
        <f t="shared" si="71"/>
        <v>DETERMINIST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9">
        <f t="shared" si="72"/>
        <v>0</v>
      </c>
      <c r="Q199" s="10" t="str">
        <f t="shared" si="73"/>
        <v>DETERMINIST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234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 t="s">
        <v>234</v>
      </c>
      <c r="AH199" s="1">
        <f t="shared" si="75"/>
        <v>0</v>
      </c>
      <c r="AI199" s="1">
        <f t="shared" si="75"/>
        <v>0</v>
      </c>
      <c r="AJ199" s="1">
        <f t="shared" si="75"/>
        <v>0</v>
      </c>
      <c r="AK199" s="1">
        <f t="shared" si="75"/>
        <v>0</v>
      </c>
      <c r="AL199" s="1">
        <f t="shared" si="75"/>
        <v>0</v>
      </c>
      <c r="AM199" s="1">
        <f t="shared" si="75"/>
        <v>0</v>
      </c>
      <c r="AN199" s="1">
        <f t="shared" si="76"/>
        <v>0</v>
      </c>
      <c r="AO199" s="23" t="str">
        <f t="shared" si="74"/>
        <v>DETERMINIST</v>
      </c>
    </row>
    <row r="200" spans="1:41" x14ac:dyDescent="0.3">
      <c r="A200" s="13" t="s">
        <v>146</v>
      </c>
      <c r="B200" s="8">
        <v>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9">
        <f t="shared" si="70"/>
        <v>0</v>
      </c>
      <c r="I200" s="10" t="str">
        <f t="shared" si="71"/>
        <v>DETERMINIST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9">
        <f t="shared" si="72"/>
        <v>0</v>
      </c>
      <c r="Q200" s="10" t="str">
        <f t="shared" si="73"/>
        <v>DETERMINIST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2</v>
      </c>
      <c r="Y200" t="s">
        <v>234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 t="s">
        <v>234</v>
      </c>
      <c r="AH200" s="1">
        <f t="shared" si="75"/>
        <v>0</v>
      </c>
      <c r="AI200" s="1">
        <f t="shared" si="75"/>
        <v>0.25</v>
      </c>
      <c r="AJ200" s="1">
        <f t="shared" si="75"/>
        <v>0</v>
      </c>
      <c r="AK200" s="1">
        <f t="shared" si="75"/>
        <v>0</v>
      </c>
      <c r="AL200" s="1">
        <f t="shared" si="75"/>
        <v>0</v>
      </c>
      <c r="AM200" s="1">
        <f t="shared" si="75"/>
        <v>0</v>
      </c>
      <c r="AN200" s="1">
        <f t="shared" si="76"/>
        <v>0.5</v>
      </c>
      <c r="AO200" s="23" t="str">
        <f t="shared" si="74"/>
        <v>DETERMINIST</v>
      </c>
    </row>
  </sheetData>
  <sortState xmlns:xlrd2="http://schemas.microsoft.com/office/spreadsheetml/2017/richdata2" ref="A2:AG204">
    <sortCondition ref="A1:A20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evaluations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 Leba</cp:lastModifiedBy>
  <dcterms:created xsi:type="dcterms:W3CDTF">2026-04-07T06:54:34Z</dcterms:created>
  <dcterms:modified xsi:type="dcterms:W3CDTF">2026-05-15T08:59:03Z</dcterms:modified>
</cp:coreProperties>
</file>